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a4b317a7eb09a/Aarush Eco Tech/Business Plans/LIVV/"/>
    </mc:Choice>
  </mc:AlternateContent>
  <xr:revisionPtr revIDLastSave="24" documentId="8_{50BCB7D9-3B66-4D27-A15E-51A2CA97A9F3}" xr6:coauthVersionLast="47" xr6:coauthVersionMax="47" xr10:uidLastSave="{68B1A762-5D0B-4852-AAFB-2A859C3B4390}"/>
  <bookViews>
    <workbookView xWindow="-108" yWindow="-108" windowWidth="23256" windowHeight="12576" activeTab="1" xr2:uid="{111FA327-FA5B-4A48-A134-83D52ED43730}"/>
  </bookViews>
  <sheets>
    <sheet name="Partner Growth Journey" sheetId="6" r:id="rId1"/>
    <sheet name="Channel Distribution V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19" i="7"/>
  <c r="C19" i="7" s="1"/>
  <c r="E19" i="7" s="1"/>
  <c r="B17" i="7"/>
  <c r="C17" i="7" s="1"/>
  <c r="E17" i="7" s="1"/>
  <c r="C18" i="7"/>
  <c r="E18" i="7" s="1"/>
  <c r="G87" i="6"/>
  <c r="G86" i="6"/>
  <c r="G85" i="6"/>
  <c r="D84" i="6"/>
</calcChain>
</file>

<file path=xl/sharedStrings.xml><?xml version="1.0" encoding="utf-8"?>
<sst xmlns="http://schemas.openxmlformats.org/spreadsheetml/2006/main" count="513" uniqueCount="379">
  <si>
    <t>TOTAL</t>
  </si>
  <si>
    <t>Level 3</t>
  </si>
  <si>
    <t>-</t>
  </si>
  <si>
    <t>Description</t>
  </si>
  <si>
    <t>Recipient</t>
  </si>
  <si>
    <t>Amount (₹)</t>
  </si>
  <si>
    <t>Formula</t>
  </si>
  <si>
    <t>Level 4</t>
  </si>
  <si>
    <t>Metric</t>
  </si>
  <si>
    <t>Notes</t>
  </si>
  <si>
    <t>Earnings - Investment</t>
  </si>
  <si>
    <t>Calculation</t>
  </si>
  <si>
    <t>📝 HOW TO USE THIS DASHBOARD</t>
  </si>
  <si>
    <t>How It Works</t>
  </si>
  <si>
    <t>One-time membership fee</t>
  </si>
  <si>
    <t>⭐ YOUR QUICK STATS</t>
  </si>
  <si>
    <t>Level 5</t>
  </si>
  <si>
    <t>📋 INPUT PARAMETERS</t>
  </si>
  <si>
    <t>Parameter</t>
  </si>
  <si>
    <t>Value</t>
  </si>
  <si>
    <t>MRP (₹)</t>
  </si>
  <si>
    <t>SE Direct Incentive (₹)</t>
  </si>
  <si>
    <t>ZP Trade Discount (%)</t>
  </si>
  <si>
    <t>RP Trade Discount (%)</t>
  </si>
  <si>
    <t>NP Trade Discount (%)</t>
  </si>
  <si>
    <t>TDS Rate (%)</t>
  </si>
  <si>
    <t>Tier</t>
  </si>
  <si>
    <t>Trade Discount</t>
  </si>
  <si>
    <t>Buy Price (₹)</t>
  </si>
  <si>
    <t>Zonal Partner (ZP)</t>
  </si>
  <si>
    <t>Regional Partner (RP)</t>
  </si>
  <si>
    <t>National Partner (NP)</t>
  </si>
  <si>
    <t>Role Description</t>
  </si>
  <si>
    <t>% of MRP</t>
  </si>
  <si>
    <t>Sales Executive (SE)</t>
  </si>
  <si>
    <t>Direct sales person</t>
  </si>
  <si>
    <t>Channel Partner (CP)</t>
  </si>
  <si>
    <t>Team leader/mentor</t>
  </si>
  <si>
    <t>National distributor</t>
  </si>
  <si>
    <t>Company (Kutumb ID)</t>
  </si>
  <si>
    <t>Company net revenue</t>
  </si>
  <si>
    <t>Net revenue after all payouts</t>
  </si>
  <si>
    <t>Company receives</t>
  </si>
  <si>
    <t>₹200</t>
  </si>
  <si>
    <t>Enter Sales Volume:</t>
  </si>
  <si>
    <t>← Change this value</t>
  </si>
  <si>
    <t>Per Sale (₹)</t>
  </si>
  <si>
    <t>% Share</t>
  </si>
  <si>
    <t>TDS Deducted (₹)</t>
  </si>
  <si>
    <t>Net Amount (₹)</t>
  </si>
  <si>
    <t>⚖️ LEGAL &amp; COMPLIANCE SUMMARY</t>
  </si>
  <si>
    <t>Compliance Item</t>
  </si>
  <si>
    <t>Requirement</t>
  </si>
  <si>
    <t>Status</t>
  </si>
  <si>
    <t>TDS Deduction</t>
  </si>
  <si>
    <t>✓ Automated</t>
  </si>
  <si>
    <t>GST Invoice</t>
  </si>
  <si>
    <t>Buy-Back Guarantee</t>
  </si>
  <si>
    <t>✓ Policy</t>
  </si>
  <si>
    <t>Cooling-Off Period</t>
  </si>
  <si>
    <t>TDS Applied?</t>
  </si>
  <si>
    <t>SE</t>
  </si>
  <si>
    <t>Yes (5%)</t>
  </si>
  <si>
    <t>NP</t>
  </si>
  <si>
    <t>N/A</t>
  </si>
  <si>
    <t>Buffer Pool</t>
  </si>
  <si>
    <t>Events &amp; gifts fund</t>
  </si>
  <si>
    <t>6. Buffer Pool (₹100/sale) is reserved for events, milestone gifts, and target achievement rewards</t>
  </si>
  <si>
    <t>₹999</t>
  </si>
  <si>
    <t>Initial Investment</t>
  </si>
  <si>
    <t>Starting Level</t>
  </si>
  <si>
    <t>Entry level position</t>
  </si>
  <si>
    <t>Direct Incentive per Sale</t>
  </si>
  <si>
    <t>Earn for each subscription sold</t>
  </si>
  <si>
    <t>Section 194H applicable</t>
  </si>
  <si>
    <t>Net Earning per Sale</t>
  </si>
  <si>
    <t>₹190</t>
  </si>
  <si>
    <t>After TDS deduction</t>
  </si>
  <si>
    <t>Tier Level</t>
  </si>
  <si>
    <t>Key Benefit</t>
  </si>
  <si>
    <t>1. Sales Executive (SE)</t>
  </si>
  <si>
    <t>2. Channel Partner (CP)</t>
  </si>
  <si>
    <t>5. National Partner (NP)</t>
  </si>
  <si>
    <t>Personal Sales</t>
  </si>
  <si>
    <t>Team Sales</t>
  </si>
  <si>
    <t>Target Tier</t>
  </si>
  <si>
    <t>Your Personal Sales</t>
  </si>
  <si>
    <t>Personal Gap</t>
  </si>
  <si>
    <t>Your Team Sales</t>
  </si>
  <si>
    <t>Team Gap</t>
  </si>
  <si>
    <t>TDS (5%)</t>
  </si>
  <si>
    <t>After 5% TDS</t>
  </si>
  <si>
    <t>Total Earnings</t>
  </si>
  <si>
    <t>Net Profit</t>
  </si>
  <si>
    <t>• Trade margins (ZP/RP/NP) are business income - no TDS at source</t>
  </si>
  <si>
    <t>🌟 GROWTH PATH VISUAL</t>
  </si>
  <si>
    <t>🎛️ INPUT PARAMETERS - Change Yellow Cells to Simulate</t>
  </si>
  <si>
    <t>Unit</t>
  </si>
  <si>
    <t>📋 SALES TARGETS</t>
  </si>
  <si>
    <t>SE Withdrawal Threshold</t>
  </si>
  <si>
    <t>Sales</t>
  </si>
  <si>
    <t>Min sales to withdraw money</t>
  </si>
  <si>
    <t>SE → CP Promotion</t>
  </si>
  <si>
    <t>Personal sales to become CP</t>
  </si>
  <si>
    <t>CP Personal Sales (Monthly)</t>
  </si>
  <si>
    <t>CP Team Sales (Monthly)</t>
  </si>
  <si>
    <t>ZP Personal Sales (Monthly)</t>
  </si>
  <si>
    <t>ZP Team Sales (Monthly)</t>
  </si>
  <si>
    <t>RP Personal Sales (Monthly)</t>
  </si>
  <si>
    <t>Personal sales for NP promo</t>
  </si>
  <si>
    <t>RP Team Sales (Monthly)</t>
  </si>
  <si>
    <t>Team sales for NP promo</t>
  </si>
  <si>
    <t>NP Personal Sales (Monthly)</t>
  </si>
  <si>
    <t>Personal sales to retain NP</t>
  </si>
  <si>
    <t>NP Team Sales (Monthly)</t>
  </si>
  <si>
    <t>Team sales to retain NP</t>
  </si>
  <si>
    <t>💰 PROFIT MARGINS &amp; COMMISSIONS</t>
  </si>
  <si>
    <t>₹</t>
  </si>
  <si>
    <t>Product price (plan upgrade)</t>
  </si>
  <si>
    <t>Per sale commission</t>
  </si>
  <si>
    <t>CP Team Override (₹)</t>
  </si>
  <si>
    <t>Per team member sale</t>
  </si>
  <si>
    <t>%</t>
  </si>
  <si>
    <t>National discount</t>
  </si>
  <si>
    <t>Tax deducted at source</t>
  </si>
  <si>
    <t>📈 PARTNER TIER PROGRESSION PATH - From SE to National Partner</t>
  </si>
  <si>
    <t>Total Sales</t>
  </si>
  <si>
    <t>Apply via app, CP+ approves</t>
  </si>
  <si>
    <t>💼 YOUR PROGRESS - Enter Your Sales Below</t>
  </si>
  <si>
    <t>Input Field</t>
  </si>
  <si>
    <t>Your individual sales</t>
  </si>
  <si>
    <t>Your team's total sales</t>
  </si>
  <si>
    <t>TOTAL NET EARNINGS</t>
  </si>
  <si>
    <t>Investment (Plan Upgrade)</t>
  </si>
  <si>
    <t>NET PROFIT</t>
  </si>
  <si>
    <t>(Profit/Investment)×100</t>
  </si>
  <si>
    <t>SE (Entry)</t>
  </si>
  <si>
    <t>CP (Team Lead)</t>
  </si>
  <si>
    <t>ZP (Zonal)</t>
  </si>
  <si>
    <t>RP (Regional)</t>
  </si>
  <si>
    <t>NP (National)</t>
  </si>
  <si>
    <t>🎯 MILESTONE TRACKER - Your Progress to Each Tier</t>
  </si>
  <si>
    <t>Personal Req.</t>
  </si>
  <si>
    <t>Your Personal</t>
  </si>
  <si>
    <t>Team Req.</t>
  </si>
  <si>
    <t>Your Team</t>
  </si>
  <si>
    <t>→ CP</t>
  </si>
  <si>
    <t>→ ZP</t>
  </si>
  <si>
    <t>→ RP</t>
  </si>
  <si>
    <t>→ NP</t>
  </si>
  <si>
    <t>NP Retain</t>
  </si>
  <si>
    <t>1️⃣ YELLOW CELLS are editable - change values to simulate different scenarios</t>
  </si>
  <si>
    <t>2️⃣ Modify SALES TARGETS (B15:B24) to test different promotion criteria</t>
  </si>
  <si>
    <t>3️⃣ Adjust PROFIT MARGINS (B27:B33) to model different commission structures</t>
  </si>
  <si>
    <t>4️⃣ Enter YOUR PROGRESS (B52:B53) to see your current earnings and gap to next tier</t>
  </si>
  <si>
    <t>5️⃣ All calculations update automatically when you change any yellow input cell!</t>
  </si>
  <si>
    <t>Personal × ₹200</t>
  </si>
  <si>
    <t>₹999 plan upgrade</t>
  </si>
  <si>
    <t>✅ Profitable</t>
  </si>
  <si>
    <t>💰 Positive</t>
  </si>
  <si>
    <t>Entry Method</t>
  </si>
  <si>
    <t>10 personal sales as SE</t>
  </si>
  <si>
    <t>CP promotion criteria met</t>
  </si>
  <si>
    <t>ZP promotion criteria met</t>
  </si>
  <si>
    <t>RP promotion criteria met</t>
  </si>
  <si>
    <t>Formula Basis</t>
  </si>
  <si>
    <t>Personal + Team</t>
  </si>
  <si>
    <t>ROI</t>
  </si>
  <si>
    <t>Direct Sale Bonus</t>
  </si>
  <si>
    <t>Additional Income</t>
  </si>
  <si>
    <t>Income Type</t>
  </si>
  <si>
    <t>Direct sales only</t>
  </si>
  <si>
    <t>Direct + Team Override</t>
  </si>
  <si>
    <t>📋 EARNING STRUCTURE NOTES</t>
  </si>
  <si>
    <t>• ALL TIERS: Direct sale earns ₹200 bonus (₹190 after 5% TDS)</t>
  </si>
  <si>
    <t>• CP ONLY: Additional ₹100 override per sale by their SE team members (₹95 after TDS)</t>
  </si>
  <si>
    <t>• ₹999 is plan upgrade cost - SE applies via app, approved by CP or above</t>
  </si>
  <si>
    <t>📈 TIER EARNINGS COMPARISON - Correct Model</t>
  </si>
  <si>
    <t>Direct Sale Earnings</t>
  </si>
  <si>
    <t>Override/Trade Margin</t>
  </si>
  <si>
    <t>Total Monthly</t>
  </si>
  <si>
    <t>Direct + ₹100 override/team sale</t>
  </si>
  <si>
    <t>📊 YOUR EARNINGS - Based on Correct Model</t>
  </si>
  <si>
    <t>Direct Sale Earnings (Gross)</t>
  </si>
  <si>
    <t>Every tier gets this</t>
  </si>
  <si>
    <t>Direct Sale Earnings (Net)</t>
  </si>
  <si>
    <t>CP Team Override (Gross)</t>
  </si>
  <si>
    <t>Team × ₹100 (if CP)</t>
  </si>
  <si>
    <t>Only CP gets override</t>
  </si>
  <si>
    <t>CP Team Override (Net)</t>
  </si>
  <si>
    <t>Direct Net + Override Net</t>
  </si>
  <si>
    <t>Trade margin: MRP-BuyPrice-SE-CP</t>
  </si>
  <si>
    <t>Margin: RP buy - NP buy price</t>
  </si>
  <si>
    <t>💵 TRADE MARGIN BREAKDOWN - How ZP/RP/NP Earn from Distribution</t>
  </si>
  <si>
    <t>Buy Price</t>
  </si>
  <si>
    <t>Sell Price</t>
  </si>
  <si>
    <t>Margin/Unit</t>
  </si>
  <si>
    <t>Volume</t>
  </si>
  <si>
    <t>Trade Profit</t>
  </si>
  <si>
    <t>Buys at 35% off, pays SE ₹200 + CP ₹100</t>
  </si>
  <si>
    <t>Buys at 38% off, sells to ZP at ₹649.35</t>
  </si>
  <si>
    <t>Buys at 40% off, sells to RP at ₹619.38</t>
  </si>
  <si>
    <t>⚖️ COMPLIANCE &amp; EARNING RULES</t>
  </si>
  <si>
    <t>• ALL TIERS get ₹200 direct sale bonus (₹190 after 5% TDS) for personal sales</t>
  </si>
  <si>
    <t>• ONLY CP gets ₹100 team override per SE sale (₹95 after TDS)</t>
  </si>
  <si>
    <t>• ZP/RP/NP earn via TRADE MARGIN (buying at discount, selling at MRP) - NO per-sale team bonus</t>
  </si>
  <si>
    <t>• TDS @ 5% (Section 194H) deducted on SE and CP incentive commissions only</t>
  </si>
  <si>
    <t>KUTUMB ID - CHANNEL DISTRIBUTION V1 (FINAL MONEY FLOW MODEL)</t>
  </si>
  <si>
    <t>MRP</t>
  </si>
  <si>
    <t>SE Direct Incentive</t>
  </si>
  <si>
    <t>Per direct sale bonus (ALL TIERS)</t>
  </si>
  <si>
    <t>CP Team Override</t>
  </si>
  <si>
    <t>Per SE team sale (CP ONLY)</t>
  </si>
  <si>
    <t>TDS Rate</t>
  </si>
  <si>
    <t>Section 194H on commissions</t>
  </si>
  <si>
    <t>Events &amp; gift rewards fund</t>
  </si>
  <si>
    <t>ZP Trade Discount</t>
  </si>
  <si>
    <t>RP Trade Discount</t>
  </si>
  <si>
    <t>NP Trade Discount</t>
  </si>
  <si>
    <t>National discount for NP</t>
  </si>
  <si>
    <t>💰 WHOLESALE TIER BUY PRICES (Auto-Calculated)</t>
  </si>
  <si>
    <t>Margin Available</t>
  </si>
  <si>
    <t>MRP × (1 - 35%)</t>
  </si>
  <si>
    <t>MRP × (1 - 38%)</t>
  </si>
  <si>
    <t>MRP × (1 - 40%)</t>
  </si>
  <si>
    <t>📊 COMPLETE MONEY FLOW PER ₹999 SALE - WHO GETS WHAT</t>
  </si>
  <si>
    <t>Before TDS</t>
  </si>
  <si>
    <t>Net Payout</t>
  </si>
  <si>
    <t>Direct sale bonus (ALL TIERS get this)</t>
  </si>
  <si>
    <t>Override per SE team sale (CP ONLY)</t>
  </si>
  <si>
    <t>Reserved for events &amp; milestone gifts</t>
  </si>
  <si>
    <t>Must equal MRP ₹999</t>
  </si>
  <si>
    <t>⚡ DIRECT SALE EARNING RULES - CRITICAL</t>
  </si>
  <si>
    <t>Gross (₹)</t>
  </si>
  <si>
    <t>TDS Deducted</t>
  </si>
  <si>
    <t>Net Earning</t>
  </si>
  <si>
    <t>Team Override?</t>
  </si>
  <si>
    <t>Override Amount</t>
  </si>
  <si>
    <t>SE (Sales Executive)</t>
  </si>
  <si>
    <t>CP (Channel Partner)</t>
  </si>
  <si>
    <t>ZP (Zonal Partner)</t>
  </si>
  <si>
    <t>RP (Regional Partner)</t>
  </si>
  <si>
    <t>NP (National Partner)</t>
  </si>
  <si>
    <t>₹200 ONLY</t>
  </si>
  <si>
    <t>❌ NO</t>
  </si>
  <si>
    <t>✅ YES</t>
  </si>
  <si>
    <t>Direct sales only, no team</t>
  </si>
  <si>
    <t>Gets ₹200 direct + ₹100 per SE team sale</t>
  </si>
  <si>
    <t>📈 TIER PROMOTION REQUIREMENTS</t>
  </si>
  <si>
    <t>Frequency</t>
  </si>
  <si>
    <t>Meet CP criteria</t>
  </si>
  <si>
    <t>Meet ZP criteria</t>
  </si>
  <si>
    <t>Meet RP criteria</t>
  </si>
  <si>
    <t>5 to withdraw, 10 to promote</t>
  </si>
  <si>
    <t>Entry level - direct sales only</t>
  </si>
  <si>
    <t>Monthly requirement</t>
  </si>
  <si>
    <t>Team override ₹100/SE sale</t>
  </si>
  <si>
    <t>Buy at ₹649.35, Trade margin</t>
  </si>
  <si>
    <t>Buy at ₹619.38, Wholesale margin</t>
  </si>
  <si>
    <t>Monthly (to retain)</t>
  </si>
  <si>
    <t>Buy at ₹599.40, Distribution margin</t>
  </si>
  <si>
    <t>🔄 MONEY FLOW VISUALIZATION - Step by Step (Per Sale)</t>
  </si>
  <si>
    <t>Step</t>
  </si>
  <si>
    <t>Customer pays MRP</t>
  </si>
  <si>
    <t>→ System</t>
  </si>
  <si>
    <t>NP buys from Company at</t>
  </si>
  <si>
    <t>Company allocates Buffer Pool</t>
  </si>
  <si>
    <t>Company Net Revenue</t>
  </si>
  <si>
    <t>Kutumb ID</t>
  </si>
  <si>
    <t>SE receives</t>
  </si>
  <si>
    <t>CP receives</t>
  </si>
  <si>
    <t>📊 SCALE SIMULATION - Money Flow at Volume</t>
  </si>
  <si>
    <t>Total Gross (₹)</t>
  </si>
  <si>
    <t>TDS @ 5% applicable</t>
  </si>
  <si>
    <t>Trade margin - no TDS</t>
  </si>
  <si>
    <t>Wholesale margin - no TDS</t>
  </si>
  <si>
    <t>Distribution margin - no TDS</t>
  </si>
  <si>
    <t>For events &amp; gifts</t>
  </si>
  <si>
    <t>✅ VERIFICATION - Money Flow Check</t>
  </si>
  <si>
    <t>Check Item</t>
  </si>
  <si>
    <t>Expected</t>
  </si>
  <si>
    <t>Calculated</t>
  </si>
  <si>
    <t>Match?</t>
  </si>
  <si>
    <t>Total per sale equals MRP</t>
  </si>
  <si>
    <t>Sum of all recipients = ₹999</t>
  </si>
  <si>
    <t>Complete distribution</t>
  </si>
  <si>
    <t>TDS only on commissions (SE+CP)</t>
  </si>
  <si>
    <t>Trade margins exempt</t>
  </si>
  <si>
    <t>Section</t>
  </si>
  <si>
    <t>5% on SE &amp; CP commissions</t>
  </si>
  <si>
    <t>194H</t>
  </si>
  <si>
    <t>Commission income</t>
  </si>
  <si>
    <t>Trade Margin TDS</t>
  </si>
  <si>
    <t>Not applicable</t>
  </si>
  <si>
    <t>✓ Exempt</t>
  </si>
  <si>
    <t>Auto-generated per ₹999</t>
  </si>
  <si>
    <t>GST Act</t>
  </si>
  <si>
    <t>Included in MRP</t>
  </si>
  <si>
    <t>90% refund on un-activated</t>
  </si>
  <si>
    <t>Consumer Act</t>
  </si>
  <si>
    <t>Within 30 days</t>
  </si>
  <si>
    <t>7-day no-questions refund</t>
  </si>
  <si>
    <t>Full refund</t>
  </si>
  <si>
    <t>📌 KEY RULES &amp; CRITICAL NOTES</t>
  </si>
  <si>
    <t>2. CP EXTRA BENEFIT: CP gets additional ₹100 override ONLY for sales made by SE in their team</t>
  </si>
  <si>
    <t>4. TDS @ 5% (Section 194H) applies ONLY to SE and CP incentive commissions, NOT to trade margins</t>
  </si>
  <si>
    <t>7. ₹999 is plan upgrade cost (personal use + Kutumb Map access) - NOT a joining fee</t>
  </si>
  <si>
    <t>8. SE applies via app, approved by CP or above levels</t>
  </si>
  <si>
    <t>9. All promotion targets are MONTHLY requirements</t>
  </si>
  <si>
    <t>📋 QUICK REFERENCE - Earnings Summary by Tier</t>
  </si>
  <si>
    <t>Direct Sale Earns</t>
  </si>
  <si>
    <t>Team Bonus?</t>
  </si>
  <si>
    <t>Net per Direct Sale</t>
  </si>
  <si>
    <t>❌ No</t>
  </si>
  <si>
    <t>Commission</t>
  </si>
  <si>
    <t>NP profit earned</t>
  </si>
  <si>
    <t>Distribution margin: ZP Buy - NP Buy</t>
  </si>
  <si>
    <t>NP sells to ZP at</t>
  </si>
  <si>
    <t>ZP sells to RP at</t>
  </si>
  <si>
    <t>ZP profit earned</t>
  </si>
  <si>
    <t>RP collects from customer</t>
  </si>
  <si>
    <t>RP starts payout</t>
  </si>
  <si>
    <t>RP pays SE Direct Bonus</t>
  </si>
  <si>
    <t>RP pays CP Team Override</t>
  </si>
  <si>
    <t>RP keeps Trade Margin</t>
  </si>
  <si>
    <t>RP profit</t>
  </si>
  <si>
    <t>SE + CP + RP + ZP + NP + Buffer + Company</t>
  </si>
  <si>
    <t>Business income for RP/ZP/NP</t>
  </si>
  <si>
    <t>1. DIRECT SALE BONUS: ALL TIERS (SE, CP, RP, ZP, NP) earn ONLY ₹200 per direct sale - NO discounted prices for direct sales</t>
  </si>
  <si>
    <t>3. RP/ZP/NP DO NOT get per-sale team bonus - they earn via TRADE MARGIN (buying at discount, selling at MRP)</t>
  </si>
  <si>
    <t>5. Trade margins (RP/ZP/NP) are classified as business income, not commission - hence no TDS at source</t>
  </si>
  <si>
    <t>10. VERIFICATION: ₹200 (SE) + ₹100 (CP) + ₹49.65 (RP) + ₹29.97 (ZP) + ₹19.98 (NP) + ₹100 (Buffer) + ₹499.40 (Company) = ₹999 ✓</t>
  </si>
  <si>
    <t>✅ CP Ready</t>
  </si>
  <si>
    <t>✅ RP Team</t>
  </si>
  <si>
    <t>Monthly personal sales for RP</t>
  </si>
  <si>
    <t>Monthly team sales for RP</t>
  </si>
  <si>
    <t>Personal sales for ZP promo</t>
  </si>
  <si>
    <t>Team sales for ZP promo</t>
  </si>
  <si>
    <t>✅ CP Eligible</t>
  </si>
  <si>
    <t>Gets ₹200 direct ONLY - NO trade margin on personal sales (avoids higher-tier bias)</t>
  </si>
  <si>
    <t>₹9,500</t>
  </si>
  <si>
    <t>₹49,650</t>
  </si>
  <si>
    <t>₹59,150</t>
  </si>
  <si>
    <t>₹19,000</t>
  </si>
  <si>
    <t>₹299,700</t>
  </si>
  <si>
    <t>₹318,700</t>
  </si>
  <si>
    <t>₹190,000</t>
  </si>
  <si>
    <t>₹1,998,000</t>
  </si>
  <si>
    <t>₹2,188,000</t>
  </si>
  <si>
    <t>Trade Margin? (Team Only)</t>
  </si>
  <si>
    <t>✅ Team Distribution Only</t>
  </si>
  <si>
    <t>Direct ₹200 + Trade (Team Only)</t>
  </si>
  <si>
    <t>Direct ₹200 + Trade Margin (Team Only)</t>
  </si>
  <si>
    <t>• ZP/RP/NP: Gets ₹200 direct on personal sales ONLY (NO trade margin) - Trade margin applies ONLY to team distribution sales</t>
  </si>
  <si>
    <t>₹649.35</t>
  </si>
  <si>
    <t>₹619.38</t>
  </si>
  <si>
    <t>₹599.40</t>
  </si>
  <si>
    <t>Margin: ZP sell - RP buy price</t>
  </si>
  <si>
    <t>Regional discount for RP (Level 3)</t>
  </si>
  <si>
    <t>Zonal discount for ZP (Level 4)</t>
  </si>
  <si>
    <t>Regional distributor (Level 3)</t>
  </si>
  <si>
    <t>Trade margin: MRP - RP Buy - SE - CP</t>
  </si>
  <si>
    <t>Zone distributor (Level 4)</t>
  </si>
  <si>
    <t>Wholesale margin: RP Buy - ZP Buy</t>
  </si>
  <si>
    <t>Regional discount (Level 3)</t>
  </si>
  <si>
    <t>Zonal discount (Level 4)</t>
  </si>
  <si>
    <t>3. Regional Partner (RP)</t>
  </si>
  <si>
    <t>4. Zonal Partner (ZP)</t>
  </si>
  <si>
    <t>• Trade discounts for team distribution: RP 35% | ZP 38% | NP 40% (higher tier = better margin)</t>
  </si>
  <si>
    <t>RP (Regional Partner - Level 3)</t>
  </si>
  <si>
    <t>₹49.65 per team sale</t>
  </si>
  <si>
    <t>ZP (Zonal Partner - Level 4)</t>
  </si>
  <si>
    <t>₹29.97 per team sale</t>
  </si>
  <si>
    <t>NP (National Partner - Level 5)</t>
  </si>
  <si>
    <t>₹19.98 per team sale</t>
  </si>
  <si>
    <t>RP (Level 3)</t>
  </si>
  <si>
    <t>ZP (Level 4)</t>
  </si>
  <si>
    <t>NP (Level 5)</t>
  </si>
  <si>
    <t>Product: Annual Subscription | MRP: ₹           (Inclusive of GST) | Based on Partner Growth Journey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</si>
</sst>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\₹#,##0.00"/>
    <numFmt numFmtId="166" formatCode="0.00\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64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2" xfId="0" applyBorder="1"/>
    <xf numFmtId="0" fontId="1" fillId="5" borderId="0" xfId="0" applyFont="1" applyFill="1"/>
    <xf numFmtId="164" fontId="0" fillId="0" borderId="0" xfId="0" applyNumberFormat="1"/>
    <xf numFmtId="10" fontId="0" fillId="0" borderId="0" xfId="0" applyNumberForma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2" borderId="0" xfId="0" applyFont="1" applyFill="1"/>
    <xf numFmtId="3" fontId="0" fillId="0" borderId="0" xfId="0" applyNumberFormat="1"/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9" fontId="0" fillId="0" borderId="0" xfId="0" applyNumberFormat="1"/>
    <xf numFmtId="165" fontId="0" fillId="0" borderId="0" xfId="0" applyNumberFormat="1"/>
    <xf numFmtId="165" fontId="0" fillId="0" borderId="2" xfId="0" applyNumberFormat="1" applyBorder="1"/>
    <xf numFmtId="9" fontId="0" fillId="0" borderId="2" xfId="0" applyNumberFormat="1" applyBorder="1"/>
    <xf numFmtId="0" fontId="7" fillId="0" borderId="0" xfId="0" applyFont="1"/>
    <xf numFmtId="9" fontId="0" fillId="12" borderId="0" xfId="0" applyNumberFormat="1" applyFill="1"/>
    <xf numFmtId="0" fontId="1" fillId="23" borderId="2" xfId="0" applyFont="1" applyFill="1" applyBorder="1"/>
    <xf numFmtId="0" fontId="1" fillId="25" borderId="2" xfId="0" applyFont="1" applyFill="1" applyBorder="1"/>
    <xf numFmtId="0" fontId="1" fillId="27" borderId="0" xfId="0" applyFont="1" applyFill="1"/>
    <xf numFmtId="3" fontId="1" fillId="12" borderId="0" xfId="0" applyNumberFormat="1" applyFont="1" applyFill="1"/>
    <xf numFmtId="165" fontId="1" fillId="9" borderId="0" xfId="0" applyNumberFormat="1" applyFont="1" applyFill="1"/>
    <xf numFmtId="0" fontId="1" fillId="8" borderId="0" xfId="0" applyFont="1" applyFill="1"/>
    <xf numFmtId="3" fontId="0" fillId="12" borderId="0" xfId="0" applyNumberFormat="1" applyFill="1"/>
    <xf numFmtId="165" fontId="1" fillId="6" borderId="0" xfId="0" applyNumberFormat="1" applyFont="1" applyFill="1"/>
    <xf numFmtId="165" fontId="4" fillId="9" borderId="0" xfId="0" applyNumberFormat="1" applyFont="1" applyFill="1"/>
    <xf numFmtId="0" fontId="0" fillId="28" borderId="0" xfId="0" applyFill="1"/>
    <xf numFmtId="166" fontId="1" fillId="28" borderId="0" xfId="0" applyNumberFormat="1" applyFont="1" applyFill="1"/>
    <xf numFmtId="0" fontId="1" fillId="29" borderId="0" xfId="0" applyFont="1" applyFill="1"/>
    <xf numFmtId="165" fontId="0" fillId="12" borderId="0" xfId="0" applyNumberFormat="1" applyFill="1"/>
    <xf numFmtId="10" fontId="1" fillId="6" borderId="0" xfId="0" applyNumberFormat="1" applyFont="1" applyFill="1"/>
    <xf numFmtId="0" fontId="0" fillId="17" borderId="0" xfId="0" applyFill="1"/>
    <xf numFmtId="165" fontId="0" fillId="17" borderId="0" xfId="0" applyNumberFormat="1" applyFill="1"/>
    <xf numFmtId="0" fontId="1" fillId="30" borderId="0" xfId="0" applyFont="1" applyFill="1"/>
    <xf numFmtId="0" fontId="1" fillId="32" borderId="0" xfId="0" applyFont="1" applyFill="1"/>
    <xf numFmtId="165" fontId="1" fillId="32" borderId="0" xfId="0" applyNumberFormat="1" applyFont="1" applyFill="1"/>
    <xf numFmtId="10" fontId="1" fillId="32" borderId="0" xfId="0" applyNumberFormat="1" applyFont="1" applyFill="1"/>
    <xf numFmtId="0" fontId="6" fillId="11" borderId="0" xfId="0" applyFont="1" applyFill="1"/>
    <xf numFmtId="0" fontId="0" fillId="0" borderId="0" xfId="0"/>
    <xf numFmtId="0" fontId="2" fillId="7" borderId="0" xfId="0" applyFont="1" applyFill="1" applyAlignment="1">
      <alignment horizontal="center"/>
    </xf>
    <xf numFmtId="0" fontId="5" fillId="27" borderId="0" xfId="0" applyFont="1" applyFill="1" applyAlignment="1">
      <alignment horizontal="center"/>
    </xf>
    <xf numFmtId="0" fontId="6" fillId="2" borderId="0" xfId="0" applyFont="1" applyFill="1"/>
    <xf numFmtId="0" fontId="6" fillId="21" borderId="0" xfId="0" applyFont="1" applyFill="1"/>
    <xf numFmtId="0" fontId="6" fillId="10" borderId="0" xfId="0" applyFont="1" applyFill="1"/>
    <xf numFmtId="0" fontId="6" fillId="31" borderId="0" xfId="0" applyFont="1" applyFill="1"/>
    <xf numFmtId="0" fontId="6" fillId="18" borderId="0" xfId="0" applyFont="1" applyFill="1"/>
    <xf numFmtId="0" fontId="6" fillId="33" borderId="0" xfId="0" applyFont="1" applyFill="1"/>
    <xf numFmtId="0" fontId="6" fillId="20" borderId="0" xfId="0" applyFont="1" applyFill="1"/>
    <xf numFmtId="0" fontId="0" fillId="17" borderId="0" xfId="0" applyFill="1"/>
    <xf numFmtId="0" fontId="6" fillId="19" borderId="0" xfId="0" applyFont="1" applyFill="1"/>
    <xf numFmtId="0" fontId="3" fillId="21" borderId="0" xfId="0" applyFont="1" applyFill="1"/>
    <xf numFmtId="0" fontId="3" fillId="7" borderId="0" xfId="0" applyFont="1" applyFill="1"/>
    <xf numFmtId="0" fontId="6" fillId="24" borderId="0" xfId="0" applyFont="1" applyFill="1"/>
    <xf numFmtId="0" fontId="6" fillId="26" borderId="4" xfId="0" applyFont="1" applyFill="1" applyBorder="1"/>
    <xf numFmtId="0" fontId="6" fillId="26" borderId="1" xfId="0" applyFont="1" applyFill="1" applyBorder="1"/>
    <xf numFmtId="0" fontId="6" fillId="26" borderId="3" xfId="0" applyFont="1" applyFill="1" applyBorder="1"/>
    <xf numFmtId="0" fontId="1" fillId="6" borderId="0" xfId="0" applyFont="1" applyFill="1"/>
    <xf numFmtId="0" fontId="7" fillId="0" borderId="0" xfId="0" applyFont="1"/>
    <xf numFmtId="0" fontId="3" fillId="2" borderId="0" xfId="0" applyFont="1" applyFill="1"/>
    <xf numFmtId="3" fontId="0" fillId="0" borderId="0" xfId="0" applyNumberFormat="1"/>
    <xf numFmtId="0" fontId="3" fillId="4" borderId="0" xfId="0" applyFont="1" applyFill="1"/>
    <xf numFmtId="0" fontId="6" fillId="2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4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8042-3186-43EF-923F-2945030A4974}">
  <dimension ref="A1:H102"/>
  <sheetViews>
    <sheetView workbookViewId="0">
      <pane ySplit="3" topLeftCell="A30" activePane="bottomLeft" state="frozen"/>
      <selection pane="bottomLeft" activeCell="A87" sqref="A87:G87"/>
    </sheetView>
  </sheetViews>
  <sheetFormatPr defaultRowHeight="14.4" x14ac:dyDescent="0.3"/>
  <cols>
    <col min="1" max="1" width="33.33203125" customWidth="1"/>
    <col min="2" max="2" width="22.21875" customWidth="1"/>
    <col min="3" max="3" width="25.88671875" bestFit="1" customWidth="1"/>
    <col min="4" max="4" width="24.44140625" bestFit="1" customWidth="1"/>
    <col min="5" max="5" width="22.33203125" bestFit="1" customWidth="1"/>
    <col min="6" max="6" width="13.44140625" bestFit="1" customWidth="1"/>
    <col min="7" max="7" width="13.109375" bestFit="1" customWidth="1"/>
    <col min="8" max="8" width="27.77734375" customWidth="1"/>
  </cols>
  <sheetData>
    <row r="1" spans="1:7" x14ac:dyDescent="0.3">
      <c r="A1" s="41"/>
      <c r="B1" s="41"/>
      <c r="C1" s="41"/>
      <c r="D1" s="41"/>
      <c r="E1" s="41"/>
      <c r="F1" s="41"/>
      <c r="G1" s="41"/>
    </row>
    <row r="4" spans="1:7" x14ac:dyDescent="0.3">
      <c r="E4" s="55" t="s">
        <v>15</v>
      </c>
      <c r="F4" s="55"/>
      <c r="G4" s="55"/>
    </row>
    <row r="5" spans="1:7" x14ac:dyDescent="0.3">
      <c r="A5" s="20" t="s">
        <v>18</v>
      </c>
      <c r="B5" s="20" t="s">
        <v>19</v>
      </c>
      <c r="C5" s="20" t="s">
        <v>9</v>
      </c>
      <c r="E5" s="21" t="s">
        <v>8</v>
      </c>
      <c r="F5" s="21" t="s">
        <v>19</v>
      </c>
      <c r="G5" s="21" t="s">
        <v>53</v>
      </c>
    </row>
    <row r="6" spans="1:7" x14ac:dyDescent="0.3">
      <c r="A6" s="1" t="s">
        <v>69</v>
      </c>
      <c r="B6" s="1" t="s">
        <v>68</v>
      </c>
      <c r="C6" s="1" t="s">
        <v>14</v>
      </c>
      <c r="E6" s="1" t="s">
        <v>83</v>
      </c>
      <c r="F6" s="1">
        <v>25</v>
      </c>
      <c r="G6" s="1" t="s">
        <v>332</v>
      </c>
    </row>
    <row r="7" spans="1:7" x14ac:dyDescent="0.3">
      <c r="A7" s="1" t="s">
        <v>70</v>
      </c>
      <c r="B7" s="1" t="s">
        <v>34</v>
      </c>
      <c r="C7" s="1" t="s">
        <v>71</v>
      </c>
      <c r="E7" s="1" t="s">
        <v>84</v>
      </c>
      <c r="F7" s="1">
        <v>150</v>
      </c>
      <c r="G7" s="1" t="s">
        <v>333</v>
      </c>
    </row>
    <row r="8" spans="1:7" x14ac:dyDescent="0.3">
      <c r="A8" s="1" t="s">
        <v>72</v>
      </c>
      <c r="B8" s="1" t="s">
        <v>43</v>
      </c>
      <c r="C8" s="1" t="s">
        <v>73</v>
      </c>
      <c r="E8" s="1" t="s">
        <v>92</v>
      </c>
      <c r="F8" s="16">
        <v>19000</v>
      </c>
      <c r="G8" s="1" t="s">
        <v>158</v>
      </c>
    </row>
    <row r="9" spans="1:7" x14ac:dyDescent="0.3">
      <c r="A9" s="1" t="s">
        <v>54</v>
      </c>
      <c r="B9" s="17">
        <v>0.05</v>
      </c>
      <c r="C9" s="1" t="s">
        <v>74</v>
      </c>
      <c r="E9" s="1" t="s">
        <v>93</v>
      </c>
      <c r="F9" s="16">
        <v>18001</v>
      </c>
      <c r="G9" s="1" t="s">
        <v>159</v>
      </c>
    </row>
    <row r="10" spans="1:7" x14ac:dyDescent="0.3">
      <c r="A10" s="1" t="s">
        <v>75</v>
      </c>
      <c r="B10" s="1" t="s">
        <v>76</v>
      </c>
      <c r="C10" s="1" t="s">
        <v>77</v>
      </c>
    </row>
    <row r="11" spans="1:7" x14ac:dyDescent="0.3">
      <c r="E11" s="56" t="s">
        <v>95</v>
      </c>
      <c r="F11" s="57"/>
      <c r="G11" s="58"/>
    </row>
    <row r="12" spans="1:7" ht="15.6" x14ac:dyDescent="0.3">
      <c r="A12" s="54" t="s">
        <v>96</v>
      </c>
      <c r="B12" s="41"/>
      <c r="C12" s="41"/>
      <c r="D12" s="41"/>
      <c r="E12" s="41"/>
      <c r="F12" s="41"/>
      <c r="G12" s="41"/>
    </row>
    <row r="13" spans="1:7" x14ac:dyDescent="0.3">
      <c r="A13" s="22" t="s">
        <v>18</v>
      </c>
      <c r="B13" s="22" t="s">
        <v>19</v>
      </c>
      <c r="C13" s="22" t="s">
        <v>97</v>
      </c>
      <c r="D13" s="22" t="s">
        <v>3</v>
      </c>
    </row>
    <row r="14" spans="1:7" x14ac:dyDescent="0.3">
      <c r="A14" s="59" t="s">
        <v>98</v>
      </c>
      <c r="B14" s="41"/>
      <c r="C14" s="41"/>
      <c r="D14" s="41"/>
    </row>
    <row r="15" spans="1:7" x14ac:dyDescent="0.3">
      <c r="A15" t="s">
        <v>99</v>
      </c>
      <c r="B15" s="23">
        <v>5</v>
      </c>
      <c r="C15" t="s">
        <v>100</v>
      </c>
      <c r="D15" t="s">
        <v>101</v>
      </c>
    </row>
    <row r="16" spans="1:7" x14ac:dyDescent="0.3">
      <c r="A16" t="s">
        <v>102</v>
      </c>
      <c r="B16" s="23">
        <v>10</v>
      </c>
      <c r="C16" t="s">
        <v>100</v>
      </c>
      <c r="D16" t="s">
        <v>103</v>
      </c>
    </row>
    <row r="17" spans="1:4" x14ac:dyDescent="0.3">
      <c r="A17" t="s">
        <v>104</v>
      </c>
      <c r="B17" s="23">
        <v>10</v>
      </c>
      <c r="C17" t="s">
        <v>100</v>
      </c>
      <c r="D17" t="s">
        <v>334</v>
      </c>
    </row>
    <row r="18" spans="1:4" x14ac:dyDescent="0.3">
      <c r="A18" t="s">
        <v>105</v>
      </c>
      <c r="B18" s="23">
        <v>100</v>
      </c>
      <c r="C18" t="s">
        <v>100</v>
      </c>
      <c r="D18" t="s">
        <v>335</v>
      </c>
    </row>
    <row r="19" spans="1:4" x14ac:dyDescent="0.3">
      <c r="A19" t="s">
        <v>108</v>
      </c>
      <c r="B19" s="23">
        <v>50</v>
      </c>
      <c r="C19" t="s">
        <v>100</v>
      </c>
      <c r="D19" t="s">
        <v>336</v>
      </c>
    </row>
    <row r="20" spans="1:4" x14ac:dyDescent="0.3">
      <c r="A20" t="s">
        <v>110</v>
      </c>
      <c r="B20" s="23">
        <v>1000</v>
      </c>
      <c r="C20" t="s">
        <v>100</v>
      </c>
      <c r="D20" t="s">
        <v>337</v>
      </c>
    </row>
    <row r="21" spans="1:4" x14ac:dyDescent="0.3">
      <c r="A21" t="s">
        <v>106</v>
      </c>
      <c r="B21" s="23">
        <v>100</v>
      </c>
      <c r="C21" t="s">
        <v>100</v>
      </c>
      <c r="D21" t="s">
        <v>109</v>
      </c>
    </row>
    <row r="22" spans="1:4" x14ac:dyDescent="0.3">
      <c r="A22" t="s">
        <v>107</v>
      </c>
      <c r="B22" s="23">
        <v>10000</v>
      </c>
      <c r="C22" t="s">
        <v>100</v>
      </c>
      <c r="D22" t="s">
        <v>111</v>
      </c>
    </row>
    <row r="23" spans="1:4" x14ac:dyDescent="0.3">
      <c r="A23" t="s">
        <v>112</v>
      </c>
      <c r="B23" s="23">
        <v>1000</v>
      </c>
      <c r="C23" t="s">
        <v>100</v>
      </c>
      <c r="D23" t="s">
        <v>113</v>
      </c>
    </row>
    <row r="24" spans="1:4" x14ac:dyDescent="0.3">
      <c r="A24" t="s">
        <v>114</v>
      </c>
      <c r="B24" s="23">
        <v>100000</v>
      </c>
      <c r="C24" t="s">
        <v>100</v>
      </c>
      <c r="D24" t="s">
        <v>115</v>
      </c>
    </row>
    <row r="26" spans="1:4" x14ac:dyDescent="0.3">
      <c r="A26" s="59" t="s">
        <v>116</v>
      </c>
      <c r="B26" s="41"/>
      <c r="C26" s="41"/>
      <c r="D26" s="41"/>
    </row>
    <row r="27" spans="1:4" x14ac:dyDescent="0.3">
      <c r="A27" t="s">
        <v>20</v>
      </c>
      <c r="B27" s="9">
        <v>999</v>
      </c>
      <c r="C27" t="s">
        <v>117</v>
      </c>
      <c r="D27" t="s">
        <v>118</v>
      </c>
    </row>
    <row r="28" spans="1:4" x14ac:dyDescent="0.3">
      <c r="A28" t="s">
        <v>21</v>
      </c>
      <c r="B28" s="9">
        <v>200</v>
      </c>
      <c r="C28" t="s">
        <v>117</v>
      </c>
      <c r="D28" t="s">
        <v>119</v>
      </c>
    </row>
    <row r="29" spans="1:4" x14ac:dyDescent="0.3">
      <c r="A29" t="s">
        <v>120</v>
      </c>
      <c r="B29" s="9">
        <v>100</v>
      </c>
      <c r="C29" t="s">
        <v>117</v>
      </c>
      <c r="D29" t="s">
        <v>121</v>
      </c>
    </row>
    <row r="30" spans="1:4" x14ac:dyDescent="0.3">
      <c r="A30" t="s">
        <v>23</v>
      </c>
      <c r="B30" s="9">
        <v>35</v>
      </c>
      <c r="C30" t="s">
        <v>122</v>
      </c>
      <c r="D30" t="s">
        <v>364</v>
      </c>
    </row>
    <row r="31" spans="1:4" x14ac:dyDescent="0.3">
      <c r="A31" t="s">
        <v>22</v>
      </c>
      <c r="B31" s="9">
        <v>38</v>
      </c>
      <c r="C31" t="s">
        <v>122</v>
      </c>
      <c r="D31" t="s">
        <v>365</v>
      </c>
    </row>
    <row r="32" spans="1:4" x14ac:dyDescent="0.3">
      <c r="A32" t="s">
        <v>24</v>
      </c>
      <c r="B32" s="9">
        <v>40</v>
      </c>
      <c r="C32" t="s">
        <v>122</v>
      </c>
      <c r="D32" t="s">
        <v>123</v>
      </c>
    </row>
    <row r="33" spans="1:8" x14ac:dyDescent="0.3">
      <c r="A33" t="s">
        <v>25</v>
      </c>
      <c r="B33" s="9">
        <v>5</v>
      </c>
      <c r="C33" t="s">
        <v>122</v>
      </c>
      <c r="D33" t="s">
        <v>124</v>
      </c>
    </row>
    <row r="35" spans="1:8" ht="15.6" x14ac:dyDescent="0.3">
      <c r="A35" s="54" t="s">
        <v>125</v>
      </c>
      <c r="B35" s="41"/>
      <c r="C35" s="41"/>
      <c r="D35" s="41"/>
      <c r="E35" s="41"/>
      <c r="F35" s="41"/>
      <c r="G35" s="41"/>
      <c r="H35" s="41"/>
    </row>
    <row r="36" spans="1:8" x14ac:dyDescent="0.3">
      <c r="A36" s="25" t="s">
        <v>78</v>
      </c>
      <c r="B36" s="25" t="s">
        <v>160</v>
      </c>
      <c r="C36" s="25" t="s">
        <v>83</v>
      </c>
      <c r="D36" s="25" t="s">
        <v>84</v>
      </c>
      <c r="E36" s="25" t="s">
        <v>126</v>
      </c>
      <c r="F36" s="25" t="s">
        <v>168</v>
      </c>
      <c r="G36" s="25" t="s">
        <v>169</v>
      </c>
      <c r="H36" s="25" t="s">
        <v>170</v>
      </c>
    </row>
    <row r="37" spans="1:8" x14ac:dyDescent="0.3">
      <c r="A37" t="s">
        <v>80</v>
      </c>
      <c r="B37" t="s">
        <v>127</v>
      </c>
      <c r="C37" s="10">
        <v>5</v>
      </c>
      <c r="D37" s="10">
        <v>0</v>
      </c>
      <c r="E37" s="10">
        <v>5</v>
      </c>
      <c r="F37" s="3">
        <v>200</v>
      </c>
      <c r="G37" s="3">
        <v>0</v>
      </c>
      <c r="H37" t="s">
        <v>171</v>
      </c>
    </row>
    <row r="38" spans="1:8" x14ac:dyDescent="0.3">
      <c r="A38" t="s">
        <v>81</v>
      </c>
      <c r="B38" t="s">
        <v>161</v>
      </c>
      <c r="C38" s="10">
        <v>10</v>
      </c>
      <c r="D38" s="10">
        <v>100</v>
      </c>
      <c r="E38" s="10">
        <v>110</v>
      </c>
      <c r="F38" s="3">
        <v>200</v>
      </c>
      <c r="G38" s="3">
        <v>100</v>
      </c>
      <c r="H38" t="s">
        <v>172</v>
      </c>
    </row>
    <row r="39" spans="1:8" x14ac:dyDescent="0.3">
      <c r="A39" t="s">
        <v>366</v>
      </c>
      <c r="B39" t="s">
        <v>162</v>
      </c>
      <c r="C39" s="10">
        <v>50</v>
      </c>
      <c r="D39" s="10">
        <v>1000</v>
      </c>
      <c r="E39" s="10">
        <v>1050</v>
      </c>
      <c r="F39" s="3">
        <v>200</v>
      </c>
      <c r="G39" s="3">
        <v>0</v>
      </c>
      <c r="H39" t="s">
        <v>352</v>
      </c>
    </row>
    <row r="40" spans="1:8" x14ac:dyDescent="0.3">
      <c r="A40" t="s">
        <v>367</v>
      </c>
      <c r="B40" t="s">
        <v>164</v>
      </c>
      <c r="C40" s="10">
        <v>100</v>
      </c>
      <c r="D40" s="10">
        <v>10000</v>
      </c>
      <c r="E40" s="10">
        <v>10100</v>
      </c>
      <c r="F40" s="3">
        <v>200</v>
      </c>
      <c r="G40" s="3">
        <v>0</v>
      </c>
      <c r="H40" t="s">
        <v>352</v>
      </c>
    </row>
    <row r="41" spans="1:8" x14ac:dyDescent="0.3">
      <c r="A41" t="s">
        <v>82</v>
      </c>
      <c r="B41" t="s">
        <v>163</v>
      </c>
      <c r="C41" s="10">
        <v>1000</v>
      </c>
      <c r="D41" s="10">
        <v>100000</v>
      </c>
      <c r="E41" s="10">
        <v>101000</v>
      </c>
      <c r="F41" s="3">
        <v>200</v>
      </c>
      <c r="G41" s="3">
        <v>0</v>
      </c>
      <c r="H41" t="s">
        <v>352</v>
      </c>
    </row>
    <row r="43" spans="1:8" x14ac:dyDescent="0.3">
      <c r="A43" s="44" t="s">
        <v>173</v>
      </c>
      <c r="B43" s="44"/>
      <c r="C43" s="44"/>
      <c r="D43" s="44"/>
      <c r="E43" s="44"/>
      <c r="F43" s="44"/>
      <c r="G43" s="44"/>
      <c r="H43" s="44"/>
    </row>
    <row r="44" spans="1:8" x14ac:dyDescent="0.3">
      <c r="A44" s="41" t="s">
        <v>174</v>
      </c>
      <c r="B44" s="41"/>
      <c r="C44" s="41"/>
      <c r="D44" s="41"/>
      <c r="E44" s="41"/>
      <c r="F44" s="41"/>
      <c r="G44" s="41"/>
      <c r="H44" s="41"/>
    </row>
    <row r="45" spans="1:8" x14ac:dyDescent="0.3">
      <c r="A45" s="41" t="s">
        <v>175</v>
      </c>
      <c r="B45" s="41"/>
      <c r="C45" s="41"/>
      <c r="D45" s="41"/>
      <c r="E45" s="41"/>
      <c r="F45" s="41"/>
      <c r="G45" s="41"/>
      <c r="H45" s="41"/>
    </row>
    <row r="46" spans="1:8" x14ac:dyDescent="0.3">
      <c r="A46" s="41" t="s">
        <v>353</v>
      </c>
      <c r="B46" s="41"/>
      <c r="C46" s="41"/>
      <c r="D46" s="41"/>
      <c r="E46" s="41"/>
      <c r="F46" s="41"/>
      <c r="G46" s="41"/>
      <c r="H46" s="41"/>
    </row>
    <row r="47" spans="1:8" x14ac:dyDescent="0.3">
      <c r="A47" s="41" t="s">
        <v>368</v>
      </c>
      <c r="B47" s="41"/>
      <c r="C47" s="41"/>
      <c r="D47" s="41"/>
      <c r="E47" s="41"/>
      <c r="F47" s="41"/>
      <c r="G47" s="41"/>
      <c r="H47" s="41"/>
    </row>
    <row r="48" spans="1:8" x14ac:dyDescent="0.3">
      <c r="A48" s="41" t="s">
        <v>176</v>
      </c>
      <c r="B48" s="41"/>
      <c r="C48" s="41"/>
      <c r="D48" s="41"/>
      <c r="E48" s="41"/>
      <c r="F48" s="41"/>
      <c r="G48" s="41"/>
      <c r="H48" s="41"/>
    </row>
    <row r="50" spans="1:8" ht="15.6" x14ac:dyDescent="0.3">
      <c r="A50" s="53" t="s">
        <v>128</v>
      </c>
      <c r="B50" s="41"/>
      <c r="C50" s="41"/>
      <c r="D50" s="41"/>
      <c r="E50" s="41"/>
      <c r="F50" s="41"/>
      <c r="G50" s="41"/>
    </row>
    <row r="51" spans="1:8" x14ac:dyDescent="0.3">
      <c r="A51" s="25" t="s">
        <v>129</v>
      </c>
      <c r="B51" s="25" t="s">
        <v>19</v>
      </c>
      <c r="C51" s="25" t="s">
        <v>97</v>
      </c>
      <c r="D51" s="25" t="s">
        <v>3</v>
      </c>
    </row>
    <row r="52" spans="1:8" x14ac:dyDescent="0.3">
      <c r="A52" t="s">
        <v>86</v>
      </c>
      <c r="B52" s="26">
        <v>25</v>
      </c>
      <c r="C52" t="s">
        <v>100</v>
      </c>
      <c r="D52" t="s">
        <v>130</v>
      </c>
    </row>
    <row r="53" spans="1:8" x14ac:dyDescent="0.3">
      <c r="A53" t="s">
        <v>88</v>
      </c>
      <c r="B53" s="26">
        <v>150</v>
      </c>
      <c r="C53" t="s">
        <v>100</v>
      </c>
      <c r="D53" t="s">
        <v>131</v>
      </c>
    </row>
    <row r="55" spans="1:8" ht="15.6" x14ac:dyDescent="0.3">
      <c r="A55" s="61" t="s">
        <v>182</v>
      </c>
      <c r="B55" s="61"/>
      <c r="C55" s="61"/>
      <c r="D55" s="61"/>
      <c r="E55" s="61"/>
      <c r="F55" s="61"/>
      <c r="G55" s="61"/>
      <c r="H55" s="61"/>
    </row>
    <row r="56" spans="1:8" x14ac:dyDescent="0.3">
      <c r="A56" s="12" t="s">
        <v>8</v>
      </c>
      <c r="B56" s="12" t="s">
        <v>19</v>
      </c>
      <c r="C56" s="12" t="s">
        <v>165</v>
      </c>
      <c r="D56" s="12" t="s">
        <v>53</v>
      </c>
      <c r="E56" s="12" t="s">
        <v>9</v>
      </c>
    </row>
    <row r="57" spans="1:8" x14ac:dyDescent="0.3">
      <c r="A57" t="s">
        <v>126</v>
      </c>
      <c r="B57" s="10">
        <v>175</v>
      </c>
      <c r="C57" t="s">
        <v>166</v>
      </c>
    </row>
    <row r="58" spans="1:8" x14ac:dyDescent="0.3">
      <c r="A58" t="s">
        <v>183</v>
      </c>
      <c r="B58" s="15">
        <v>5000</v>
      </c>
      <c r="C58" t="s">
        <v>156</v>
      </c>
      <c r="E58" t="s">
        <v>184</v>
      </c>
    </row>
    <row r="59" spans="1:8" x14ac:dyDescent="0.3">
      <c r="A59" t="s">
        <v>185</v>
      </c>
      <c r="B59" s="15">
        <v>4750</v>
      </c>
      <c r="C59" t="s">
        <v>91</v>
      </c>
    </row>
    <row r="60" spans="1:8" x14ac:dyDescent="0.3">
      <c r="A60" t="s">
        <v>186</v>
      </c>
      <c r="B60" s="15">
        <v>15000</v>
      </c>
      <c r="C60" t="s">
        <v>187</v>
      </c>
      <c r="D60" t="s">
        <v>338</v>
      </c>
      <c r="E60" t="s">
        <v>188</v>
      </c>
    </row>
    <row r="61" spans="1:8" x14ac:dyDescent="0.3">
      <c r="A61" t="s">
        <v>189</v>
      </c>
      <c r="B61" s="15">
        <v>14250</v>
      </c>
      <c r="C61" t="s">
        <v>91</v>
      </c>
    </row>
    <row r="62" spans="1:8" x14ac:dyDescent="0.3">
      <c r="A62" s="11" t="s">
        <v>132</v>
      </c>
      <c r="B62" s="24">
        <v>19000</v>
      </c>
      <c r="C62" s="11" t="s">
        <v>190</v>
      </c>
      <c r="D62" s="11"/>
      <c r="E62" s="11"/>
    </row>
    <row r="63" spans="1:8" x14ac:dyDescent="0.3">
      <c r="A63" t="s">
        <v>133</v>
      </c>
      <c r="B63" s="15">
        <v>999</v>
      </c>
      <c r="C63" t="s">
        <v>157</v>
      </c>
    </row>
    <row r="64" spans="1:8" x14ac:dyDescent="0.3">
      <c r="A64" s="13" t="s">
        <v>134</v>
      </c>
      <c r="B64" s="28">
        <v>18001</v>
      </c>
      <c r="C64" s="13" t="s">
        <v>10</v>
      </c>
      <c r="D64" s="13"/>
      <c r="E64" s="13"/>
    </row>
    <row r="65" spans="1:8" x14ac:dyDescent="0.3">
      <c r="A65" s="29" t="s">
        <v>167</v>
      </c>
      <c r="B65" s="30">
        <v>1801.9019019018999</v>
      </c>
      <c r="C65" s="29" t="s">
        <v>135</v>
      </c>
      <c r="D65" s="29"/>
      <c r="E65" s="29"/>
    </row>
    <row r="67" spans="1:8" ht="15.6" x14ac:dyDescent="0.3">
      <c r="A67" s="61" t="s">
        <v>177</v>
      </c>
      <c r="B67" s="61"/>
      <c r="C67" s="61"/>
      <c r="D67" s="61"/>
      <c r="E67" s="61"/>
      <c r="F67" s="61"/>
      <c r="G67" s="61"/>
      <c r="H67" s="61"/>
    </row>
    <row r="68" spans="1:8" x14ac:dyDescent="0.3">
      <c r="A68" s="12" t="s">
        <v>26</v>
      </c>
      <c r="B68" s="12" t="s">
        <v>83</v>
      </c>
      <c r="C68" s="12" t="s">
        <v>84</v>
      </c>
      <c r="D68" s="12" t="s">
        <v>126</v>
      </c>
      <c r="E68" s="12" t="s">
        <v>178</v>
      </c>
      <c r="F68" s="12" t="s">
        <v>179</v>
      </c>
      <c r="G68" s="12" t="s">
        <v>180</v>
      </c>
      <c r="H68" s="12" t="s">
        <v>9</v>
      </c>
    </row>
    <row r="69" spans="1:8" x14ac:dyDescent="0.3">
      <c r="A69" t="s">
        <v>136</v>
      </c>
      <c r="B69" s="10">
        <v>10</v>
      </c>
      <c r="C69" s="10">
        <v>0</v>
      </c>
      <c r="D69" s="10">
        <v>10</v>
      </c>
      <c r="E69" s="15">
        <v>1900</v>
      </c>
      <c r="F69" s="15">
        <v>0</v>
      </c>
      <c r="G69" s="15">
        <v>1900</v>
      </c>
      <c r="H69" t="s">
        <v>171</v>
      </c>
    </row>
    <row r="70" spans="1:8" x14ac:dyDescent="0.3">
      <c r="A70" t="s">
        <v>137</v>
      </c>
      <c r="B70" s="10">
        <v>10</v>
      </c>
      <c r="C70" s="10">
        <v>100</v>
      </c>
      <c r="D70" s="10">
        <v>110</v>
      </c>
      <c r="E70" s="15">
        <v>1900</v>
      </c>
      <c r="F70" s="15">
        <v>9500</v>
      </c>
      <c r="G70" s="15">
        <v>11400</v>
      </c>
      <c r="H70" t="s">
        <v>181</v>
      </c>
    </row>
    <row r="71" spans="1:8" x14ac:dyDescent="0.3">
      <c r="A71" t="s">
        <v>375</v>
      </c>
      <c r="B71" s="10">
        <v>50</v>
      </c>
      <c r="C71" s="10" t="s">
        <v>340</v>
      </c>
      <c r="D71" s="10" t="s">
        <v>341</v>
      </c>
      <c r="E71" s="15" t="s">
        <v>342</v>
      </c>
      <c r="F71" s="15">
        <v>49650</v>
      </c>
      <c r="G71" s="15">
        <v>59150</v>
      </c>
      <c r="H71" t="s">
        <v>191</v>
      </c>
    </row>
    <row r="72" spans="1:8" x14ac:dyDescent="0.3">
      <c r="A72" t="s">
        <v>376</v>
      </c>
      <c r="B72" s="10">
        <v>100</v>
      </c>
      <c r="C72" s="10" t="s">
        <v>343</v>
      </c>
      <c r="D72" s="10" t="s">
        <v>344</v>
      </c>
      <c r="E72" s="15" t="s">
        <v>345</v>
      </c>
      <c r="F72" s="15">
        <v>299700</v>
      </c>
      <c r="G72" s="15">
        <v>318700</v>
      </c>
      <c r="H72" t="s">
        <v>357</v>
      </c>
    </row>
    <row r="73" spans="1:8" x14ac:dyDescent="0.3">
      <c r="A73" t="s">
        <v>377</v>
      </c>
      <c r="B73" s="10">
        <v>1000</v>
      </c>
      <c r="C73" s="10" t="s">
        <v>346</v>
      </c>
      <c r="D73" s="10" t="s">
        <v>347</v>
      </c>
      <c r="E73" s="15" t="s">
        <v>348</v>
      </c>
      <c r="F73" s="15">
        <v>1998000</v>
      </c>
      <c r="G73" s="15">
        <v>2188000</v>
      </c>
      <c r="H73" t="s">
        <v>192</v>
      </c>
    </row>
    <row r="75" spans="1:8" ht="15.6" x14ac:dyDescent="0.3">
      <c r="A75" s="63" t="s">
        <v>193</v>
      </c>
      <c r="B75" s="63"/>
      <c r="C75" s="63"/>
      <c r="D75" s="63"/>
      <c r="E75" s="63"/>
      <c r="F75" s="63"/>
      <c r="G75" s="63"/>
      <c r="H75" s="63"/>
    </row>
    <row r="76" spans="1:8" x14ac:dyDescent="0.3">
      <c r="A76" s="11" t="s">
        <v>26</v>
      </c>
      <c r="B76" s="11" t="s">
        <v>194</v>
      </c>
      <c r="C76" s="11" t="s">
        <v>195</v>
      </c>
      <c r="D76" s="11" t="s">
        <v>196</v>
      </c>
      <c r="E76" s="11" t="s">
        <v>197</v>
      </c>
      <c r="F76" s="11" t="s">
        <v>198</v>
      </c>
      <c r="G76" s="11" t="s">
        <v>13</v>
      </c>
    </row>
    <row r="77" spans="1:8" x14ac:dyDescent="0.3">
      <c r="A77" t="s">
        <v>369</v>
      </c>
      <c r="B77" s="15">
        <v>0.35</v>
      </c>
      <c r="C77" s="15" t="s">
        <v>354</v>
      </c>
      <c r="D77" s="15" t="s">
        <v>370</v>
      </c>
      <c r="E77" s="10">
        <v>1000</v>
      </c>
      <c r="F77" s="15">
        <v>49650</v>
      </c>
      <c r="G77" s="10" t="s">
        <v>199</v>
      </c>
    </row>
    <row r="78" spans="1:8" x14ac:dyDescent="0.3">
      <c r="A78" t="s">
        <v>371</v>
      </c>
      <c r="B78" s="15">
        <v>0.38</v>
      </c>
      <c r="C78" s="15" t="s">
        <v>355</v>
      </c>
      <c r="D78" s="15" t="s">
        <v>372</v>
      </c>
      <c r="E78" s="10">
        <v>10000</v>
      </c>
      <c r="F78" s="15">
        <v>299700</v>
      </c>
      <c r="G78" s="10" t="s">
        <v>200</v>
      </c>
    </row>
    <row r="79" spans="1:8" x14ac:dyDescent="0.3">
      <c r="A79" t="s">
        <v>373</v>
      </c>
      <c r="B79" s="15">
        <v>0.4</v>
      </c>
      <c r="C79" s="15" t="s">
        <v>356</v>
      </c>
      <c r="D79" s="15" t="s">
        <v>374</v>
      </c>
      <c r="E79" s="10">
        <v>100000</v>
      </c>
      <c r="F79" s="15">
        <v>1998000</v>
      </c>
      <c r="G79" s="10" t="s">
        <v>201</v>
      </c>
    </row>
    <row r="81" spans="1:8" x14ac:dyDescent="0.3">
      <c r="A81" s="44" t="s">
        <v>141</v>
      </c>
      <c r="B81" s="44"/>
      <c r="C81" s="44"/>
      <c r="D81" s="44"/>
      <c r="E81" s="44"/>
      <c r="F81" s="44"/>
      <c r="G81" s="44"/>
      <c r="H81" s="44"/>
    </row>
    <row r="82" spans="1:8" x14ac:dyDescent="0.3">
      <c r="A82" s="12" t="s">
        <v>85</v>
      </c>
      <c r="B82" s="12" t="s">
        <v>142</v>
      </c>
      <c r="C82" s="12" t="s">
        <v>143</v>
      </c>
      <c r="D82" s="12" t="s">
        <v>87</v>
      </c>
      <c r="E82" s="12" t="s">
        <v>144</v>
      </c>
      <c r="F82" s="12" t="s">
        <v>145</v>
      </c>
      <c r="G82" s="12" t="s">
        <v>89</v>
      </c>
    </row>
    <row r="83" spans="1:8" x14ac:dyDescent="0.3">
      <c r="A83" s="12"/>
      <c r="B83" s="12"/>
      <c r="C83" s="12"/>
      <c r="D83" s="12"/>
      <c r="E83" s="12"/>
      <c r="F83" s="12"/>
      <c r="G83" s="12"/>
    </row>
    <row r="84" spans="1:8" x14ac:dyDescent="0.3">
      <c r="A84" t="s">
        <v>146</v>
      </c>
      <c r="B84" s="10">
        <v>10</v>
      </c>
      <c r="C84" s="10">
        <v>25</v>
      </c>
      <c r="D84" s="10">
        <f>B84-C84</f>
        <v>-15</v>
      </c>
      <c r="E84" s="10" t="s">
        <v>2</v>
      </c>
      <c r="F84" s="10">
        <v>150</v>
      </c>
      <c r="G84" s="10" t="s">
        <v>2</v>
      </c>
    </row>
    <row r="85" spans="1:8" x14ac:dyDescent="0.3">
      <c r="A85" s="18" t="s">
        <v>148</v>
      </c>
      <c r="B85" s="10">
        <v>50</v>
      </c>
      <c r="C85" s="10">
        <v>25</v>
      </c>
      <c r="D85" s="10">
        <v>1000</v>
      </c>
      <c r="E85" s="10">
        <v>1000</v>
      </c>
      <c r="F85" s="10">
        <v>150</v>
      </c>
      <c r="G85" s="10">
        <f>E85-F85</f>
        <v>850</v>
      </c>
    </row>
    <row r="86" spans="1:8" x14ac:dyDescent="0.3">
      <c r="A86" s="18" t="s">
        <v>147</v>
      </c>
      <c r="B86" s="10">
        <v>100</v>
      </c>
      <c r="C86" s="10">
        <v>25</v>
      </c>
      <c r="D86" s="10">
        <v>10000</v>
      </c>
      <c r="E86" s="10">
        <v>10000</v>
      </c>
      <c r="F86" s="10">
        <v>150</v>
      </c>
      <c r="G86" s="10">
        <f>E86-F86</f>
        <v>9850</v>
      </c>
    </row>
    <row r="87" spans="1:8" x14ac:dyDescent="0.3">
      <c r="A87" s="18" t="s">
        <v>149</v>
      </c>
      <c r="B87" s="10">
        <v>1000</v>
      </c>
      <c r="C87" s="10">
        <v>25</v>
      </c>
      <c r="D87" s="10">
        <v>100000</v>
      </c>
      <c r="E87" s="10">
        <v>100000</v>
      </c>
      <c r="F87" s="10">
        <v>150</v>
      </c>
      <c r="G87" s="10">
        <f>E87-F87</f>
        <v>99850</v>
      </c>
    </row>
    <row r="88" spans="1:8" x14ac:dyDescent="0.3">
      <c r="A88" s="60" t="s">
        <v>150</v>
      </c>
      <c r="B88" s="62"/>
      <c r="C88" s="62"/>
      <c r="D88" s="62"/>
      <c r="E88" s="62"/>
      <c r="F88" s="62"/>
      <c r="G88" s="62"/>
    </row>
    <row r="89" spans="1:8" x14ac:dyDescent="0.3">
      <c r="A89" s="60" t="s">
        <v>155</v>
      </c>
      <c r="B89" s="41"/>
      <c r="C89" s="41"/>
      <c r="D89" s="41"/>
      <c r="E89" s="41"/>
      <c r="F89" s="41"/>
      <c r="G89" s="41"/>
    </row>
    <row r="90" spans="1:8" x14ac:dyDescent="0.3">
      <c r="A90" s="46" t="s">
        <v>12</v>
      </c>
      <c r="B90" s="46"/>
      <c r="C90" s="46"/>
      <c r="D90" s="46"/>
      <c r="E90" s="46"/>
      <c r="F90" s="46"/>
      <c r="G90" s="46"/>
      <c r="H90" s="46"/>
    </row>
    <row r="91" spans="1:8" x14ac:dyDescent="0.3">
      <c r="A91" s="64" t="s">
        <v>151</v>
      </c>
      <c r="B91" s="64"/>
      <c r="C91" s="64"/>
      <c r="D91" s="64"/>
      <c r="E91" s="64"/>
      <c r="F91" s="64"/>
      <c r="G91" s="64"/>
      <c r="H91" s="64"/>
    </row>
    <row r="92" spans="1:8" x14ac:dyDescent="0.3">
      <c r="A92" s="60" t="s">
        <v>152</v>
      </c>
      <c r="B92" s="60"/>
      <c r="C92" s="60"/>
      <c r="D92" s="60"/>
      <c r="E92" s="60"/>
      <c r="F92" s="60"/>
      <c r="G92" s="60"/>
      <c r="H92" s="60"/>
    </row>
    <row r="93" spans="1:8" x14ac:dyDescent="0.3">
      <c r="A93" s="60" t="s">
        <v>153</v>
      </c>
      <c r="B93" s="60"/>
      <c r="C93" s="60"/>
      <c r="D93" s="60"/>
      <c r="E93" s="60"/>
      <c r="F93" s="60"/>
      <c r="G93" s="60"/>
      <c r="H93" s="60"/>
    </row>
    <row r="94" spans="1:8" x14ac:dyDescent="0.3">
      <c r="A94" s="60" t="s">
        <v>154</v>
      </c>
      <c r="B94" s="60"/>
      <c r="C94" s="60"/>
      <c r="D94" s="60"/>
      <c r="E94" s="60"/>
      <c r="F94" s="60"/>
      <c r="G94" s="60"/>
      <c r="H94" s="60"/>
    </row>
    <row r="95" spans="1:8" x14ac:dyDescent="0.3">
      <c r="A95" s="41" t="s">
        <v>155</v>
      </c>
      <c r="B95" s="41"/>
      <c r="C95" s="41"/>
      <c r="D95" s="41"/>
      <c r="E95" s="41"/>
      <c r="F95" s="41"/>
      <c r="G95" s="41"/>
      <c r="H95" s="41"/>
    </row>
    <row r="97" spans="1:8" x14ac:dyDescent="0.3">
      <c r="A97" s="40" t="s">
        <v>202</v>
      </c>
      <c r="B97" s="40"/>
      <c r="C97" s="40"/>
      <c r="D97" s="40"/>
      <c r="E97" s="40"/>
      <c r="F97" s="40"/>
      <c r="G97" s="40"/>
      <c r="H97" s="40"/>
    </row>
    <row r="98" spans="1:8" x14ac:dyDescent="0.3">
      <c r="A98" s="41" t="s">
        <v>203</v>
      </c>
      <c r="B98" s="41"/>
      <c r="C98" s="41"/>
      <c r="D98" s="41"/>
      <c r="E98" s="41"/>
      <c r="F98" s="41"/>
      <c r="G98" s="41"/>
      <c r="H98" s="41"/>
    </row>
    <row r="99" spans="1:8" x14ac:dyDescent="0.3">
      <c r="A99" s="41" t="s">
        <v>204</v>
      </c>
      <c r="B99" s="41"/>
      <c r="C99" s="41"/>
      <c r="D99" s="41"/>
      <c r="E99" s="41"/>
      <c r="F99" s="41"/>
      <c r="G99" s="41"/>
      <c r="H99" s="41"/>
    </row>
    <row r="100" spans="1:8" x14ac:dyDescent="0.3">
      <c r="A100" s="41" t="s">
        <v>205</v>
      </c>
      <c r="B100" s="41"/>
      <c r="C100" s="41"/>
      <c r="D100" s="41"/>
      <c r="E100" s="41"/>
      <c r="F100" s="41"/>
      <c r="G100" s="41"/>
      <c r="H100" s="41"/>
    </row>
    <row r="101" spans="1:8" x14ac:dyDescent="0.3">
      <c r="A101" s="41" t="s">
        <v>206</v>
      </c>
      <c r="B101" s="41"/>
      <c r="C101" s="41"/>
      <c r="D101" s="41"/>
      <c r="E101" s="41"/>
      <c r="F101" s="41"/>
      <c r="G101" s="41"/>
      <c r="H101" s="41"/>
    </row>
    <row r="102" spans="1:8" x14ac:dyDescent="0.3">
      <c r="A102" s="41" t="s">
        <v>94</v>
      </c>
      <c r="B102" s="41"/>
      <c r="C102" s="41"/>
      <c r="D102" s="41"/>
      <c r="E102" s="41"/>
      <c r="F102" s="41"/>
      <c r="G102" s="41"/>
      <c r="H102" s="41"/>
    </row>
  </sheetData>
  <mergeCells count="32">
    <mergeCell ref="A102:H102"/>
    <mergeCell ref="A95:H95"/>
    <mergeCell ref="A97:H97"/>
    <mergeCell ref="A98:H98"/>
    <mergeCell ref="A99:H99"/>
    <mergeCell ref="A100:H100"/>
    <mergeCell ref="A101:H101"/>
    <mergeCell ref="A55:H55"/>
    <mergeCell ref="A75:H75"/>
    <mergeCell ref="A81:H81"/>
    <mergeCell ref="A90:H90"/>
    <mergeCell ref="A91:H91"/>
    <mergeCell ref="A92:H92"/>
    <mergeCell ref="A89:G89"/>
    <mergeCell ref="A67:H67"/>
    <mergeCell ref="A93:H93"/>
    <mergeCell ref="A94:H94"/>
    <mergeCell ref="A88:G88"/>
    <mergeCell ref="A47:H47"/>
    <mergeCell ref="A48:H48"/>
    <mergeCell ref="A50:G50"/>
    <mergeCell ref="A1:G1"/>
    <mergeCell ref="A12:G12"/>
    <mergeCell ref="E4:G4"/>
    <mergeCell ref="E11:G11"/>
    <mergeCell ref="A14:D14"/>
    <mergeCell ref="A26:D26"/>
    <mergeCell ref="A35:H35"/>
    <mergeCell ref="A43:H43"/>
    <mergeCell ref="A44:H44"/>
    <mergeCell ref="A45:H45"/>
    <mergeCell ref="A46:H46"/>
  </mergeCells>
  <conditionalFormatting sqref="D77:D79 G78:G79 D84 G84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E41E-7981-42B2-A125-94BF0255A592}">
  <dimension ref="A1:J106"/>
  <sheetViews>
    <sheetView tabSelected="1" workbookViewId="0">
      <selection activeCell="G15" sqref="G15"/>
    </sheetView>
  </sheetViews>
  <sheetFormatPr defaultRowHeight="14.4" x14ac:dyDescent="0.3"/>
  <cols>
    <col min="1" max="1" width="33.33203125" customWidth="1"/>
    <col min="2" max="6" width="18.5546875" customWidth="1"/>
    <col min="7" max="7" width="22.21875" customWidth="1"/>
    <col min="8" max="8" width="33.33203125" customWidth="1"/>
  </cols>
  <sheetData>
    <row r="1" spans="1:10" ht="21" x14ac:dyDescent="0.4">
      <c r="A1" s="42" t="s">
        <v>207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3" t="s">
        <v>378</v>
      </c>
      <c r="B2" s="41"/>
      <c r="C2" s="41"/>
      <c r="D2" s="41"/>
      <c r="E2" s="41"/>
      <c r="F2" s="41"/>
      <c r="G2" s="41"/>
      <c r="H2" s="41"/>
      <c r="I2" s="41"/>
      <c r="J2" s="41"/>
    </row>
    <row r="4" spans="1:10" x14ac:dyDescent="0.3">
      <c r="A4" s="44" t="s">
        <v>17</v>
      </c>
      <c r="B4" s="41"/>
      <c r="C4" s="41"/>
      <c r="D4" s="41"/>
    </row>
    <row r="5" spans="1:10" x14ac:dyDescent="0.3">
      <c r="A5" s="31" t="s">
        <v>18</v>
      </c>
      <c r="B5" s="31" t="s">
        <v>19</v>
      </c>
      <c r="C5" s="31" t="s">
        <v>97</v>
      </c>
      <c r="D5" s="31" t="s">
        <v>3</v>
      </c>
    </row>
    <row r="6" spans="1:10" x14ac:dyDescent="0.3">
      <c r="A6" t="s">
        <v>208</v>
      </c>
      <c r="B6" s="32">
        <v>999</v>
      </c>
      <c r="C6" t="s">
        <v>117</v>
      </c>
      <c r="D6" t="s">
        <v>118</v>
      </c>
    </row>
    <row r="7" spans="1:10" x14ac:dyDescent="0.3">
      <c r="A7" t="s">
        <v>209</v>
      </c>
      <c r="B7" s="32">
        <v>200</v>
      </c>
      <c r="C7" t="s">
        <v>117</v>
      </c>
      <c r="D7" t="s">
        <v>210</v>
      </c>
    </row>
    <row r="8" spans="1:10" x14ac:dyDescent="0.3">
      <c r="A8" t="s">
        <v>211</v>
      </c>
      <c r="B8" s="32">
        <v>100</v>
      </c>
      <c r="C8" t="s">
        <v>117</v>
      </c>
      <c r="D8" t="s">
        <v>212</v>
      </c>
    </row>
    <row r="9" spans="1:10" x14ac:dyDescent="0.3">
      <c r="A9" t="s">
        <v>213</v>
      </c>
      <c r="B9" s="19">
        <v>0.05</v>
      </c>
      <c r="D9" t="s">
        <v>214</v>
      </c>
    </row>
    <row r="10" spans="1:10" x14ac:dyDescent="0.3">
      <c r="A10" t="s">
        <v>65</v>
      </c>
      <c r="B10" s="32">
        <v>100</v>
      </c>
      <c r="C10" t="s">
        <v>117</v>
      </c>
      <c r="D10" t="s">
        <v>215</v>
      </c>
    </row>
    <row r="11" spans="1:10" x14ac:dyDescent="0.3">
      <c r="A11" t="s">
        <v>217</v>
      </c>
      <c r="B11" s="19">
        <v>0.35</v>
      </c>
      <c r="D11" t="s">
        <v>358</v>
      </c>
    </row>
    <row r="12" spans="1:10" x14ac:dyDescent="0.3">
      <c r="A12" t="s">
        <v>216</v>
      </c>
      <c r="B12" s="19">
        <v>0.38</v>
      </c>
      <c r="D12" t="s">
        <v>359</v>
      </c>
    </row>
    <row r="13" spans="1:10" x14ac:dyDescent="0.3">
      <c r="A13" t="s">
        <v>218</v>
      </c>
      <c r="B13" s="19">
        <v>0.4</v>
      </c>
      <c r="D13" t="s">
        <v>219</v>
      </c>
    </row>
    <row r="15" spans="1:10" x14ac:dyDescent="0.3">
      <c r="A15" s="44" t="s">
        <v>220</v>
      </c>
      <c r="B15" s="41"/>
      <c r="C15" s="41"/>
      <c r="D15" s="41"/>
      <c r="E15" s="41"/>
    </row>
    <row r="16" spans="1:10" x14ac:dyDescent="0.3">
      <c r="A16" s="31" t="s">
        <v>26</v>
      </c>
      <c r="B16" s="31" t="s">
        <v>27</v>
      </c>
      <c r="C16" s="31" t="s">
        <v>28</v>
      </c>
      <c r="D16" s="31" t="s">
        <v>6</v>
      </c>
      <c r="E16" s="31" t="s">
        <v>221</v>
      </c>
    </row>
    <row r="17" spans="1:8" x14ac:dyDescent="0.3">
      <c r="A17" t="s">
        <v>30</v>
      </c>
      <c r="B17" s="14">
        <f>B11</f>
        <v>0.35</v>
      </c>
      <c r="C17" s="15">
        <f>$B$6*(1-B17)</f>
        <v>649.35</v>
      </c>
      <c r="D17" t="s">
        <v>222</v>
      </c>
      <c r="E17" s="15">
        <f>$B$6-C17</f>
        <v>349.65</v>
      </c>
    </row>
    <row r="18" spans="1:8" x14ac:dyDescent="0.3">
      <c r="A18" t="s">
        <v>29</v>
      </c>
      <c r="B18" s="14">
        <f t="shared" ref="B18:B19" si="0">B12</f>
        <v>0.38</v>
      </c>
      <c r="C18" s="15">
        <f>$B$6*(1-B18)</f>
        <v>619.38</v>
      </c>
      <c r="D18" t="s">
        <v>223</v>
      </c>
      <c r="E18" s="15">
        <f t="shared" ref="E18:E19" si="1">$B$6-C18</f>
        <v>379.62</v>
      </c>
    </row>
    <row r="19" spans="1:8" x14ac:dyDescent="0.3">
      <c r="A19" t="s">
        <v>31</v>
      </c>
      <c r="B19" s="14">
        <f t="shared" si="0"/>
        <v>0.4</v>
      </c>
      <c r="C19" s="15">
        <f>$B$6*(1-B19)</f>
        <v>599.4</v>
      </c>
      <c r="D19" t="s">
        <v>224</v>
      </c>
      <c r="E19" s="15">
        <f t="shared" si="1"/>
        <v>399.6</v>
      </c>
    </row>
    <row r="21" spans="1:8" x14ac:dyDescent="0.3">
      <c r="A21" s="45" t="s">
        <v>225</v>
      </c>
      <c r="B21" s="41"/>
      <c r="C21" s="41"/>
      <c r="D21" s="41"/>
      <c r="E21" s="41"/>
      <c r="F21" s="41"/>
      <c r="G21" s="41"/>
      <c r="H21" s="41"/>
    </row>
    <row r="22" spans="1:8" x14ac:dyDescent="0.3">
      <c r="A22" s="8" t="s">
        <v>4</v>
      </c>
      <c r="B22" s="8" t="s">
        <v>32</v>
      </c>
      <c r="C22" s="8" t="s">
        <v>5</v>
      </c>
      <c r="D22" s="8" t="s">
        <v>33</v>
      </c>
      <c r="E22" s="8" t="s">
        <v>226</v>
      </c>
      <c r="F22" s="8" t="s">
        <v>90</v>
      </c>
      <c r="G22" s="8" t="s">
        <v>227</v>
      </c>
      <c r="H22" s="8" t="s">
        <v>9</v>
      </c>
    </row>
    <row r="23" spans="1:8" x14ac:dyDescent="0.3">
      <c r="A23" t="s">
        <v>34</v>
      </c>
      <c r="B23" t="s">
        <v>35</v>
      </c>
      <c r="C23" s="15">
        <v>200</v>
      </c>
      <c r="D23" s="4">
        <v>0.20020020020019999</v>
      </c>
      <c r="E23" s="15">
        <v>200</v>
      </c>
      <c r="F23" s="15">
        <v>10</v>
      </c>
      <c r="G23" s="15">
        <v>190</v>
      </c>
      <c r="H23" t="s">
        <v>228</v>
      </c>
    </row>
    <row r="24" spans="1:8" x14ac:dyDescent="0.3">
      <c r="A24" t="s">
        <v>36</v>
      </c>
      <c r="B24" t="s">
        <v>37</v>
      </c>
      <c r="C24" s="15">
        <v>100</v>
      </c>
      <c r="D24" s="4">
        <v>0.1001001001001</v>
      </c>
      <c r="E24" s="15">
        <v>100</v>
      </c>
      <c r="F24" s="15">
        <v>5</v>
      </c>
      <c r="G24" s="15">
        <v>95</v>
      </c>
      <c r="H24" t="s">
        <v>229</v>
      </c>
    </row>
    <row r="25" spans="1:8" x14ac:dyDescent="0.3">
      <c r="A25" t="s">
        <v>30</v>
      </c>
      <c r="B25" t="s">
        <v>360</v>
      </c>
      <c r="C25" s="15">
        <v>49.65</v>
      </c>
      <c r="D25" s="4">
        <v>4.9699699699699701E-2</v>
      </c>
      <c r="E25" s="15">
        <v>49.65</v>
      </c>
      <c r="F25" s="15">
        <v>0</v>
      </c>
      <c r="G25" s="15">
        <v>49.65</v>
      </c>
      <c r="H25" t="s">
        <v>361</v>
      </c>
    </row>
    <row r="26" spans="1:8" x14ac:dyDescent="0.3">
      <c r="A26" t="s">
        <v>29</v>
      </c>
      <c r="B26" t="s">
        <v>362</v>
      </c>
      <c r="C26" s="15">
        <v>29.97</v>
      </c>
      <c r="D26" s="4">
        <v>0.03</v>
      </c>
      <c r="E26" s="15">
        <v>29.97</v>
      </c>
      <c r="F26" s="15">
        <v>0</v>
      </c>
      <c r="G26" s="15">
        <v>29.97</v>
      </c>
      <c r="H26" t="s">
        <v>363</v>
      </c>
    </row>
    <row r="27" spans="1:8" x14ac:dyDescent="0.3">
      <c r="A27" t="s">
        <v>31</v>
      </c>
      <c r="B27" t="s">
        <v>38</v>
      </c>
      <c r="C27" s="15">
        <v>19.98</v>
      </c>
      <c r="D27" s="4">
        <v>0.02</v>
      </c>
      <c r="E27" s="15">
        <v>19.98</v>
      </c>
      <c r="F27" s="15">
        <v>0</v>
      </c>
      <c r="G27" s="15">
        <v>19.98</v>
      </c>
      <c r="H27" t="s">
        <v>316</v>
      </c>
    </row>
    <row r="28" spans="1:8" x14ac:dyDescent="0.3">
      <c r="A28" t="s">
        <v>65</v>
      </c>
      <c r="B28" t="s">
        <v>66</v>
      </c>
      <c r="C28" s="15">
        <v>100</v>
      </c>
      <c r="D28" s="4">
        <v>0.1001001001001</v>
      </c>
      <c r="E28" s="15">
        <v>100</v>
      </c>
      <c r="F28" s="15">
        <v>0</v>
      </c>
      <c r="G28" s="15">
        <v>100</v>
      </c>
      <c r="H28" t="s">
        <v>230</v>
      </c>
    </row>
    <row r="29" spans="1:8" x14ac:dyDescent="0.3">
      <c r="A29" t="s">
        <v>39</v>
      </c>
      <c r="B29" t="s">
        <v>40</v>
      </c>
      <c r="C29" s="15">
        <v>499.4</v>
      </c>
      <c r="D29" s="4">
        <v>0.49989989989990002</v>
      </c>
      <c r="E29" s="15">
        <v>499.4</v>
      </c>
      <c r="F29" s="15">
        <v>0</v>
      </c>
      <c r="G29" s="15">
        <v>499.4</v>
      </c>
      <c r="H29" t="s">
        <v>41</v>
      </c>
    </row>
    <row r="30" spans="1:8" x14ac:dyDescent="0.3">
      <c r="A30" s="11" t="s">
        <v>0</v>
      </c>
      <c r="B30" s="11"/>
      <c r="C30" s="27">
        <v>999</v>
      </c>
      <c r="D30" s="33">
        <v>1</v>
      </c>
      <c r="E30" s="27">
        <v>999</v>
      </c>
      <c r="F30" s="27">
        <v>15</v>
      </c>
      <c r="G30" s="27">
        <v>984</v>
      </c>
      <c r="H30" s="11" t="s">
        <v>231</v>
      </c>
    </row>
    <row r="32" spans="1:8" x14ac:dyDescent="0.3">
      <c r="A32" s="40" t="s">
        <v>232</v>
      </c>
      <c r="B32" s="41"/>
      <c r="C32" s="41"/>
      <c r="D32" s="41"/>
      <c r="E32" s="41"/>
      <c r="F32" s="41"/>
      <c r="G32" s="41"/>
      <c r="H32" s="41"/>
    </row>
    <row r="33" spans="1:8" x14ac:dyDescent="0.3">
      <c r="A33" s="7" t="s">
        <v>26</v>
      </c>
      <c r="B33" s="7" t="s">
        <v>168</v>
      </c>
      <c r="C33" s="7" t="s">
        <v>233</v>
      </c>
      <c r="D33" s="7" t="s">
        <v>234</v>
      </c>
      <c r="E33" s="7" t="s">
        <v>235</v>
      </c>
      <c r="F33" s="7" t="s">
        <v>236</v>
      </c>
      <c r="G33" s="7" t="s">
        <v>237</v>
      </c>
      <c r="H33" s="7" t="s">
        <v>9</v>
      </c>
    </row>
    <row r="34" spans="1:8" x14ac:dyDescent="0.3">
      <c r="A34" t="s">
        <v>238</v>
      </c>
      <c r="B34" t="s">
        <v>243</v>
      </c>
      <c r="C34" s="15">
        <v>200</v>
      </c>
      <c r="D34" s="15">
        <v>10</v>
      </c>
      <c r="E34" s="15">
        <v>190</v>
      </c>
      <c r="F34" t="s">
        <v>244</v>
      </c>
      <c r="G34" s="15">
        <v>0</v>
      </c>
      <c r="H34" t="s">
        <v>246</v>
      </c>
    </row>
    <row r="35" spans="1:8" x14ac:dyDescent="0.3">
      <c r="A35" s="34" t="s">
        <v>239</v>
      </c>
      <c r="B35" s="34" t="s">
        <v>243</v>
      </c>
      <c r="C35" s="35">
        <v>200</v>
      </c>
      <c r="D35" s="35">
        <v>10</v>
      </c>
      <c r="E35" s="35">
        <v>190</v>
      </c>
      <c r="F35" s="34" t="s">
        <v>245</v>
      </c>
      <c r="G35" s="35">
        <v>100</v>
      </c>
      <c r="H35" s="34" t="s">
        <v>247</v>
      </c>
    </row>
    <row r="36" spans="1:8" x14ac:dyDescent="0.3">
      <c r="A36" t="s">
        <v>241</v>
      </c>
      <c r="B36" t="s">
        <v>243</v>
      </c>
      <c r="C36" s="15">
        <v>200</v>
      </c>
      <c r="D36" s="15">
        <v>10</v>
      </c>
      <c r="E36" s="15">
        <v>190</v>
      </c>
      <c r="F36" t="s">
        <v>244</v>
      </c>
      <c r="G36" s="15">
        <v>0</v>
      </c>
      <c r="H36" t="s">
        <v>339</v>
      </c>
    </row>
    <row r="37" spans="1:8" x14ac:dyDescent="0.3">
      <c r="A37" t="s">
        <v>240</v>
      </c>
      <c r="B37" t="s">
        <v>243</v>
      </c>
      <c r="C37" s="15">
        <v>200</v>
      </c>
      <c r="D37" s="15">
        <v>10</v>
      </c>
      <c r="E37" s="15">
        <v>190</v>
      </c>
      <c r="F37" t="s">
        <v>244</v>
      </c>
      <c r="G37" s="15">
        <v>0</v>
      </c>
      <c r="H37" t="s">
        <v>339</v>
      </c>
    </row>
    <row r="38" spans="1:8" x14ac:dyDescent="0.3">
      <c r="A38" t="s">
        <v>242</v>
      </c>
      <c r="B38" t="s">
        <v>243</v>
      </c>
      <c r="C38" s="15">
        <v>200</v>
      </c>
      <c r="D38" s="15">
        <v>10</v>
      </c>
      <c r="E38" s="15">
        <v>190</v>
      </c>
      <c r="F38" t="s">
        <v>244</v>
      </c>
      <c r="G38" s="15">
        <v>0</v>
      </c>
      <c r="H38" t="s">
        <v>339</v>
      </c>
    </row>
    <row r="40" spans="1:8" x14ac:dyDescent="0.3">
      <c r="A40" s="46" t="s">
        <v>248</v>
      </c>
      <c r="B40" s="41"/>
      <c r="C40" s="41"/>
      <c r="D40" s="41"/>
      <c r="E40" s="41"/>
      <c r="F40" s="41"/>
      <c r="G40" s="41"/>
      <c r="H40" s="41"/>
    </row>
    <row r="41" spans="1:8" x14ac:dyDescent="0.3">
      <c r="A41" s="36" t="s">
        <v>26</v>
      </c>
      <c r="B41" s="36" t="s">
        <v>160</v>
      </c>
      <c r="C41" s="36" t="s">
        <v>83</v>
      </c>
      <c r="D41" s="36" t="s">
        <v>84</v>
      </c>
      <c r="E41" s="36" t="s">
        <v>126</v>
      </c>
      <c r="F41" s="36" t="s">
        <v>249</v>
      </c>
      <c r="G41" s="36" t="s">
        <v>27</v>
      </c>
      <c r="H41" s="36" t="s">
        <v>79</v>
      </c>
    </row>
    <row r="42" spans="1:8" x14ac:dyDescent="0.3">
      <c r="A42" t="s">
        <v>136</v>
      </c>
      <c r="B42" t="s">
        <v>127</v>
      </c>
      <c r="C42" s="10">
        <v>5</v>
      </c>
      <c r="D42" s="10">
        <v>0</v>
      </c>
      <c r="E42" s="10">
        <v>5</v>
      </c>
      <c r="F42" t="s">
        <v>253</v>
      </c>
      <c r="G42" s="14">
        <v>0</v>
      </c>
      <c r="H42" t="s">
        <v>254</v>
      </c>
    </row>
    <row r="43" spans="1:8" x14ac:dyDescent="0.3">
      <c r="A43" t="s">
        <v>137</v>
      </c>
      <c r="B43" t="s">
        <v>161</v>
      </c>
      <c r="C43" s="10">
        <v>10</v>
      </c>
      <c r="D43" s="10">
        <v>100</v>
      </c>
      <c r="E43" s="10">
        <v>110</v>
      </c>
      <c r="F43" t="s">
        <v>255</v>
      </c>
      <c r="G43" s="14">
        <v>0</v>
      </c>
      <c r="H43" t="s">
        <v>256</v>
      </c>
    </row>
    <row r="44" spans="1:8" x14ac:dyDescent="0.3">
      <c r="A44" t="s">
        <v>139</v>
      </c>
      <c r="B44" t="s">
        <v>250</v>
      </c>
      <c r="C44" s="10">
        <v>50</v>
      </c>
      <c r="D44" s="10">
        <v>1000</v>
      </c>
      <c r="E44" s="10">
        <v>1050</v>
      </c>
      <c r="F44" t="s">
        <v>255</v>
      </c>
      <c r="G44" s="14">
        <v>0.35</v>
      </c>
      <c r="H44" t="s">
        <v>257</v>
      </c>
    </row>
    <row r="45" spans="1:8" x14ac:dyDescent="0.3">
      <c r="A45" t="s">
        <v>138</v>
      </c>
      <c r="B45" t="s">
        <v>252</v>
      </c>
      <c r="C45" s="10">
        <v>100</v>
      </c>
      <c r="D45" s="10">
        <v>10000</v>
      </c>
      <c r="E45" s="10">
        <v>10100</v>
      </c>
      <c r="F45" t="s">
        <v>255</v>
      </c>
      <c r="G45" s="14">
        <v>0.38</v>
      </c>
      <c r="H45" t="s">
        <v>258</v>
      </c>
    </row>
    <row r="46" spans="1:8" x14ac:dyDescent="0.3">
      <c r="A46" t="s">
        <v>140</v>
      </c>
      <c r="B46" t="s">
        <v>251</v>
      </c>
      <c r="C46" s="10">
        <v>1000</v>
      </c>
      <c r="D46" s="10">
        <v>100000</v>
      </c>
      <c r="E46" s="10">
        <v>101000</v>
      </c>
      <c r="F46" t="s">
        <v>259</v>
      </c>
      <c r="G46" s="14">
        <v>0.4</v>
      </c>
      <c r="H46" t="s">
        <v>260</v>
      </c>
    </row>
    <row r="48" spans="1:8" x14ac:dyDescent="0.3">
      <c r="A48" s="47" t="s">
        <v>261</v>
      </c>
      <c r="B48" s="47"/>
      <c r="C48" s="47"/>
      <c r="D48" s="47"/>
      <c r="E48" s="47"/>
      <c r="F48" s="47"/>
      <c r="G48" s="47"/>
      <c r="H48" s="47"/>
    </row>
    <row r="49" spans="1:7" x14ac:dyDescent="0.3">
      <c r="A49" s="2" t="s">
        <v>262</v>
      </c>
      <c r="B49" s="2" t="s">
        <v>3</v>
      </c>
      <c r="C49" s="2" t="s">
        <v>5</v>
      </c>
      <c r="D49" s="2" t="s">
        <v>4</v>
      </c>
      <c r="E49" s="2" t="s">
        <v>11</v>
      </c>
    </row>
    <row r="50" spans="1:7" x14ac:dyDescent="0.3">
      <c r="A50">
        <v>1</v>
      </c>
      <c r="B50" t="s">
        <v>263</v>
      </c>
      <c r="C50" s="15">
        <v>999</v>
      </c>
      <c r="D50" t="s">
        <v>264</v>
      </c>
    </row>
    <row r="51" spans="1:7" x14ac:dyDescent="0.3">
      <c r="A51">
        <v>2</v>
      </c>
      <c r="B51" t="s">
        <v>265</v>
      </c>
      <c r="C51" s="15">
        <v>599.4</v>
      </c>
      <c r="D51" t="s">
        <v>42</v>
      </c>
    </row>
    <row r="52" spans="1:7" x14ac:dyDescent="0.3">
      <c r="A52">
        <v>3</v>
      </c>
      <c r="B52" t="s">
        <v>266</v>
      </c>
      <c r="C52" s="15">
        <v>100</v>
      </c>
      <c r="D52" t="s">
        <v>65</v>
      </c>
    </row>
    <row r="53" spans="1:7" x14ac:dyDescent="0.3">
      <c r="A53">
        <v>4</v>
      </c>
      <c r="B53" t="s">
        <v>267</v>
      </c>
      <c r="C53" s="15">
        <v>499.4</v>
      </c>
      <c r="D53" t="s">
        <v>268</v>
      </c>
    </row>
    <row r="54" spans="1:7" x14ac:dyDescent="0.3">
      <c r="A54">
        <v>5</v>
      </c>
      <c r="B54" t="s">
        <v>317</v>
      </c>
      <c r="C54" s="15">
        <v>619.38</v>
      </c>
      <c r="D54" t="s">
        <v>315</v>
      </c>
    </row>
    <row r="55" spans="1:7" x14ac:dyDescent="0.3">
      <c r="A55">
        <v>6</v>
      </c>
      <c r="B55" t="s">
        <v>318</v>
      </c>
      <c r="C55" s="15">
        <v>649.35</v>
      </c>
      <c r="D55" t="s">
        <v>319</v>
      </c>
    </row>
    <row r="56" spans="1:7" x14ac:dyDescent="0.3">
      <c r="A56">
        <v>7</v>
      </c>
      <c r="B56" t="s">
        <v>320</v>
      </c>
      <c r="C56" s="15">
        <v>999</v>
      </c>
      <c r="D56" t="s">
        <v>321</v>
      </c>
    </row>
    <row r="57" spans="1:7" x14ac:dyDescent="0.3">
      <c r="A57">
        <v>8</v>
      </c>
      <c r="B57" t="s">
        <v>322</v>
      </c>
      <c r="C57" s="15">
        <v>200</v>
      </c>
      <c r="D57" t="s">
        <v>269</v>
      </c>
    </row>
    <row r="58" spans="1:7" x14ac:dyDescent="0.3">
      <c r="A58">
        <v>9</v>
      </c>
      <c r="B58" t="s">
        <v>323</v>
      </c>
      <c r="C58" s="15">
        <v>100</v>
      </c>
      <c r="D58" t="s">
        <v>270</v>
      </c>
    </row>
    <row r="59" spans="1:7" x14ac:dyDescent="0.3">
      <c r="A59">
        <v>10</v>
      </c>
      <c r="B59" t="s">
        <v>324</v>
      </c>
      <c r="C59" s="15">
        <v>49.65</v>
      </c>
      <c r="D59" t="s">
        <v>325</v>
      </c>
    </row>
    <row r="61" spans="1:7" x14ac:dyDescent="0.3">
      <c r="A61" s="48" t="s">
        <v>271</v>
      </c>
      <c r="B61" s="41"/>
      <c r="C61" s="41"/>
      <c r="D61" s="41"/>
      <c r="E61" s="41"/>
      <c r="F61" s="41"/>
      <c r="G61" s="41"/>
    </row>
    <row r="62" spans="1:7" x14ac:dyDescent="0.3">
      <c r="A62" t="s">
        <v>44</v>
      </c>
      <c r="B62" s="26">
        <v>1000</v>
      </c>
      <c r="C62" t="s">
        <v>45</v>
      </c>
    </row>
    <row r="64" spans="1:7" x14ac:dyDescent="0.3">
      <c r="A64" s="6" t="s">
        <v>4</v>
      </c>
      <c r="B64" s="6" t="s">
        <v>46</v>
      </c>
      <c r="C64" s="6" t="s">
        <v>272</v>
      </c>
      <c r="D64" s="6" t="s">
        <v>47</v>
      </c>
      <c r="E64" s="6" t="s">
        <v>48</v>
      </c>
      <c r="F64" s="6" t="s">
        <v>49</v>
      </c>
      <c r="G64" s="6" t="s">
        <v>9</v>
      </c>
    </row>
    <row r="65" spans="1:7" x14ac:dyDescent="0.3">
      <c r="A65" t="s">
        <v>34</v>
      </c>
      <c r="B65" s="15">
        <v>200</v>
      </c>
      <c r="C65" s="15">
        <v>200000</v>
      </c>
      <c r="D65" s="4">
        <v>0.20020020020019999</v>
      </c>
      <c r="E65" s="15">
        <v>10000</v>
      </c>
      <c r="F65" s="15">
        <v>190000</v>
      </c>
      <c r="G65" t="s">
        <v>273</v>
      </c>
    </row>
    <row r="66" spans="1:7" x14ac:dyDescent="0.3">
      <c r="A66" t="s">
        <v>36</v>
      </c>
      <c r="B66" s="15">
        <v>100</v>
      </c>
      <c r="C66" s="15">
        <v>100000</v>
      </c>
      <c r="D66" s="4">
        <v>0.1001001001001</v>
      </c>
      <c r="E66" s="15">
        <v>5000</v>
      </c>
      <c r="F66" s="15">
        <v>95000</v>
      </c>
      <c r="G66" t="s">
        <v>273</v>
      </c>
    </row>
    <row r="67" spans="1:7" x14ac:dyDescent="0.3">
      <c r="A67" t="s">
        <v>30</v>
      </c>
      <c r="B67" s="15">
        <v>49.65</v>
      </c>
      <c r="C67" s="15">
        <v>49650</v>
      </c>
      <c r="D67" s="4">
        <v>4.9699699699699701E-2</v>
      </c>
      <c r="E67" s="15">
        <v>0</v>
      </c>
      <c r="F67" s="15">
        <v>49650</v>
      </c>
      <c r="G67" t="s">
        <v>274</v>
      </c>
    </row>
    <row r="68" spans="1:7" x14ac:dyDescent="0.3">
      <c r="A68" t="s">
        <v>29</v>
      </c>
      <c r="B68" s="15">
        <v>29.97</v>
      </c>
      <c r="C68" s="15">
        <v>29970</v>
      </c>
      <c r="D68" s="4">
        <v>0.03</v>
      </c>
      <c r="E68" s="15">
        <v>0</v>
      </c>
      <c r="F68" s="15">
        <v>29970</v>
      </c>
      <c r="G68" t="s">
        <v>275</v>
      </c>
    </row>
    <row r="69" spans="1:7" x14ac:dyDescent="0.3">
      <c r="A69" t="s">
        <v>31</v>
      </c>
      <c r="B69" s="15">
        <v>19.98</v>
      </c>
      <c r="C69" s="15">
        <v>19980</v>
      </c>
      <c r="D69" s="4">
        <v>0.02</v>
      </c>
      <c r="E69" s="15">
        <v>0</v>
      </c>
      <c r="F69" s="15">
        <v>19980</v>
      </c>
      <c r="G69" t="s">
        <v>276</v>
      </c>
    </row>
    <row r="70" spans="1:7" x14ac:dyDescent="0.3">
      <c r="A70" t="s">
        <v>65</v>
      </c>
      <c r="B70" s="15">
        <v>100</v>
      </c>
      <c r="C70" s="15">
        <v>100000</v>
      </c>
      <c r="D70" s="4">
        <v>0.1001001001001</v>
      </c>
      <c r="E70" s="15">
        <v>0</v>
      </c>
      <c r="F70" s="15">
        <v>100000</v>
      </c>
      <c r="G70" t="s">
        <v>277</v>
      </c>
    </row>
    <row r="71" spans="1:7" x14ac:dyDescent="0.3">
      <c r="A71" t="s">
        <v>39</v>
      </c>
      <c r="B71" s="15">
        <v>499.4</v>
      </c>
      <c r="C71" s="15">
        <v>499400</v>
      </c>
      <c r="D71" s="4">
        <v>0.49989989989990002</v>
      </c>
      <c r="E71" s="15">
        <v>0</v>
      </c>
      <c r="F71" s="15">
        <v>499400</v>
      </c>
      <c r="G71" t="s">
        <v>40</v>
      </c>
    </row>
    <row r="72" spans="1:7" x14ac:dyDescent="0.3">
      <c r="A72" s="37" t="s">
        <v>0</v>
      </c>
      <c r="B72" s="38">
        <v>999</v>
      </c>
      <c r="C72" s="38">
        <v>999000</v>
      </c>
      <c r="D72" s="39">
        <v>1</v>
      </c>
      <c r="E72" s="38">
        <v>15000</v>
      </c>
      <c r="F72" s="38">
        <v>984000</v>
      </c>
      <c r="G72" s="37"/>
    </row>
    <row r="74" spans="1:7" x14ac:dyDescent="0.3">
      <c r="A74" s="49" t="s">
        <v>278</v>
      </c>
      <c r="B74" s="41"/>
      <c r="C74" s="41"/>
      <c r="D74" s="41"/>
      <c r="E74" s="41"/>
    </row>
    <row r="75" spans="1:7" x14ac:dyDescent="0.3">
      <c r="A75" s="13" t="s">
        <v>279</v>
      </c>
      <c r="B75" s="13" t="s">
        <v>280</v>
      </c>
      <c r="C75" s="13" t="s">
        <v>281</v>
      </c>
      <c r="D75" s="13" t="s">
        <v>282</v>
      </c>
      <c r="E75" s="13" t="s">
        <v>9</v>
      </c>
    </row>
    <row r="76" spans="1:7" x14ac:dyDescent="0.3">
      <c r="A76" t="s">
        <v>283</v>
      </c>
      <c r="B76" s="15">
        <v>999</v>
      </c>
      <c r="C76" s="15">
        <v>999</v>
      </c>
      <c r="D76" t="s">
        <v>245</v>
      </c>
      <c r="E76" t="s">
        <v>284</v>
      </c>
    </row>
    <row r="77" spans="1:7" x14ac:dyDescent="0.3">
      <c r="A77" t="s">
        <v>326</v>
      </c>
      <c r="B77" s="15">
        <v>999</v>
      </c>
      <c r="C77" s="15">
        <v>999</v>
      </c>
      <c r="D77" t="s">
        <v>245</v>
      </c>
      <c r="E77" t="s">
        <v>285</v>
      </c>
    </row>
    <row r="78" spans="1:7" x14ac:dyDescent="0.3">
      <c r="A78" t="s">
        <v>286</v>
      </c>
      <c r="B78" s="15">
        <v>15</v>
      </c>
      <c r="C78" s="15">
        <v>15</v>
      </c>
      <c r="D78" t="s">
        <v>245</v>
      </c>
      <c r="E78" t="s">
        <v>287</v>
      </c>
    </row>
    <row r="80" spans="1:7" x14ac:dyDescent="0.3">
      <c r="A80" s="50" t="s">
        <v>50</v>
      </c>
      <c r="B80" s="41"/>
      <c r="C80" s="41"/>
      <c r="D80" s="41"/>
      <c r="E80" s="41"/>
    </row>
    <row r="81" spans="1:8" x14ac:dyDescent="0.3">
      <c r="A81" s="22" t="s">
        <v>51</v>
      </c>
      <c r="B81" s="22" t="s">
        <v>52</v>
      </c>
      <c r="C81" s="22" t="s">
        <v>53</v>
      </c>
      <c r="D81" s="22" t="s">
        <v>288</v>
      </c>
      <c r="E81" s="22" t="s">
        <v>9</v>
      </c>
    </row>
    <row r="82" spans="1:8" x14ac:dyDescent="0.3">
      <c r="A82" t="s">
        <v>54</v>
      </c>
      <c r="B82" t="s">
        <v>289</v>
      </c>
      <c r="C82" t="s">
        <v>55</v>
      </c>
      <c r="D82" t="s">
        <v>290</v>
      </c>
      <c r="E82" t="s">
        <v>291</v>
      </c>
    </row>
    <row r="83" spans="1:8" x14ac:dyDescent="0.3">
      <c r="A83" t="s">
        <v>292</v>
      </c>
      <c r="B83" t="s">
        <v>293</v>
      </c>
      <c r="C83" t="s">
        <v>294</v>
      </c>
      <c r="D83" t="s">
        <v>64</v>
      </c>
      <c r="E83" t="s">
        <v>327</v>
      </c>
    </row>
    <row r="84" spans="1:8" x14ac:dyDescent="0.3">
      <c r="A84" t="s">
        <v>56</v>
      </c>
      <c r="B84" t="s">
        <v>295</v>
      </c>
      <c r="C84" t="s">
        <v>55</v>
      </c>
      <c r="D84" t="s">
        <v>296</v>
      </c>
      <c r="E84" t="s">
        <v>297</v>
      </c>
    </row>
    <row r="85" spans="1:8" x14ac:dyDescent="0.3">
      <c r="A85" t="s">
        <v>57</v>
      </c>
      <c r="B85" t="s">
        <v>298</v>
      </c>
      <c r="C85" t="s">
        <v>58</v>
      </c>
      <c r="D85" t="s">
        <v>299</v>
      </c>
      <c r="E85" t="s">
        <v>300</v>
      </c>
    </row>
    <row r="86" spans="1:8" x14ac:dyDescent="0.3">
      <c r="A86" t="s">
        <v>59</v>
      </c>
      <c r="B86" t="s">
        <v>301</v>
      </c>
      <c r="C86" t="s">
        <v>58</v>
      </c>
      <c r="D86" t="s">
        <v>299</v>
      </c>
      <c r="E86" t="s">
        <v>302</v>
      </c>
    </row>
    <row r="88" spans="1:8" x14ac:dyDescent="0.3">
      <c r="A88" s="40" t="s">
        <v>303</v>
      </c>
      <c r="B88" s="41"/>
      <c r="C88" s="41"/>
      <c r="D88" s="41"/>
      <c r="E88" s="41"/>
      <c r="F88" s="41"/>
      <c r="G88" s="41"/>
      <c r="H88" s="41"/>
    </row>
    <row r="89" spans="1:8" x14ac:dyDescent="0.3">
      <c r="A89" s="51" t="s">
        <v>328</v>
      </c>
      <c r="B89" s="51"/>
      <c r="C89" s="51"/>
      <c r="D89" s="51"/>
      <c r="E89" s="51"/>
      <c r="F89" s="51"/>
      <c r="G89" s="51"/>
      <c r="H89" s="51"/>
    </row>
    <row r="90" spans="1:8" x14ac:dyDescent="0.3">
      <c r="A90" s="51" t="s">
        <v>304</v>
      </c>
      <c r="B90" s="51"/>
      <c r="C90" s="51"/>
      <c r="D90" s="51"/>
      <c r="E90" s="51"/>
      <c r="F90" s="51"/>
      <c r="G90" s="51"/>
      <c r="H90" s="51"/>
    </row>
    <row r="91" spans="1:8" x14ac:dyDescent="0.3">
      <c r="A91" s="51" t="s">
        <v>329</v>
      </c>
      <c r="B91" s="51"/>
      <c r="C91" s="51"/>
      <c r="D91" s="51"/>
      <c r="E91" s="51"/>
      <c r="F91" s="51"/>
      <c r="G91" s="51"/>
      <c r="H91" s="51"/>
    </row>
    <row r="92" spans="1:8" x14ac:dyDescent="0.3">
      <c r="A92" s="41" t="s">
        <v>305</v>
      </c>
      <c r="B92" s="41"/>
      <c r="C92" s="41"/>
      <c r="D92" s="41"/>
      <c r="E92" s="41"/>
      <c r="F92" s="41"/>
      <c r="G92" s="41"/>
      <c r="H92" s="41"/>
    </row>
    <row r="93" spans="1:8" x14ac:dyDescent="0.3">
      <c r="A93" s="41" t="s">
        <v>330</v>
      </c>
      <c r="B93" s="41"/>
      <c r="C93" s="41"/>
      <c r="D93" s="41"/>
      <c r="E93" s="41"/>
      <c r="F93" s="41"/>
      <c r="G93" s="41"/>
      <c r="H93" s="41"/>
    </row>
    <row r="94" spans="1:8" x14ac:dyDescent="0.3">
      <c r="A94" s="41" t="s">
        <v>67</v>
      </c>
      <c r="B94" s="41"/>
      <c r="C94" s="41"/>
      <c r="D94" s="41"/>
      <c r="E94" s="41"/>
      <c r="F94" s="41"/>
      <c r="G94" s="41"/>
      <c r="H94" s="41"/>
    </row>
    <row r="95" spans="1:8" x14ac:dyDescent="0.3">
      <c r="A95" s="41" t="s">
        <v>306</v>
      </c>
      <c r="B95" s="41"/>
      <c r="C95" s="41"/>
      <c r="D95" s="41"/>
      <c r="E95" s="41"/>
      <c r="F95" s="41"/>
      <c r="G95" s="41"/>
      <c r="H95" s="41"/>
    </row>
    <row r="96" spans="1:8" x14ac:dyDescent="0.3">
      <c r="A96" s="41" t="s">
        <v>307</v>
      </c>
      <c r="B96" s="41"/>
      <c r="C96" s="41"/>
      <c r="D96" s="41"/>
      <c r="E96" s="41"/>
      <c r="F96" s="41"/>
      <c r="G96" s="41"/>
      <c r="H96" s="41"/>
    </row>
    <row r="97" spans="1:8" x14ac:dyDescent="0.3">
      <c r="A97" s="41" t="s">
        <v>308</v>
      </c>
      <c r="B97" s="41"/>
      <c r="C97" s="41"/>
      <c r="D97" s="41"/>
      <c r="E97" s="41"/>
      <c r="F97" s="41"/>
      <c r="G97" s="41"/>
      <c r="H97" s="41"/>
    </row>
    <row r="98" spans="1:8" x14ac:dyDescent="0.3">
      <c r="A98" s="41" t="s">
        <v>331</v>
      </c>
      <c r="B98" s="41"/>
      <c r="C98" s="41"/>
      <c r="D98" s="41"/>
      <c r="E98" s="41"/>
      <c r="F98" s="41"/>
      <c r="G98" s="41"/>
      <c r="H98" s="41"/>
    </row>
    <row r="100" spans="1:8" x14ac:dyDescent="0.3">
      <c r="A100" s="52" t="s">
        <v>309</v>
      </c>
      <c r="B100" s="41"/>
      <c r="C100" s="41"/>
      <c r="D100" s="41"/>
      <c r="E100" s="41"/>
      <c r="F100" s="41"/>
      <c r="G100" s="41"/>
      <c r="H100" s="41"/>
    </row>
    <row r="101" spans="1:8" x14ac:dyDescent="0.3">
      <c r="A101" s="5" t="s">
        <v>26</v>
      </c>
      <c r="B101" s="5" t="s">
        <v>310</v>
      </c>
      <c r="C101" s="5" t="s">
        <v>311</v>
      </c>
      <c r="D101" s="5" t="s">
        <v>349</v>
      </c>
      <c r="E101" s="5" t="s">
        <v>194</v>
      </c>
      <c r="F101" s="5" t="s">
        <v>312</v>
      </c>
      <c r="G101" s="5" t="s">
        <v>60</v>
      </c>
      <c r="H101" s="5" t="s">
        <v>170</v>
      </c>
    </row>
    <row r="102" spans="1:8" x14ac:dyDescent="0.3">
      <c r="A102" t="s">
        <v>61</v>
      </c>
      <c r="B102" s="3">
        <v>200</v>
      </c>
      <c r="C102" t="s">
        <v>313</v>
      </c>
      <c r="D102" t="s">
        <v>313</v>
      </c>
      <c r="E102" t="s">
        <v>64</v>
      </c>
      <c r="F102" s="3">
        <v>190</v>
      </c>
      <c r="G102" t="s">
        <v>62</v>
      </c>
      <c r="H102" t="s">
        <v>314</v>
      </c>
    </row>
    <row r="103" spans="1:8" x14ac:dyDescent="0.3">
      <c r="A103" t="s">
        <v>241</v>
      </c>
      <c r="B103" s="3" t="s">
        <v>43</v>
      </c>
      <c r="C103" t="s">
        <v>313</v>
      </c>
      <c r="D103" t="s">
        <v>350</v>
      </c>
      <c r="E103" t="s">
        <v>351</v>
      </c>
      <c r="F103" s="3" t="s">
        <v>1</v>
      </c>
      <c r="G103" t="s">
        <v>62</v>
      </c>
      <c r="H103" t="s">
        <v>314</v>
      </c>
    </row>
    <row r="104" spans="1:8" x14ac:dyDescent="0.3">
      <c r="A104" t="s">
        <v>240</v>
      </c>
      <c r="B104" s="3" t="s">
        <v>43</v>
      </c>
      <c r="C104" t="s">
        <v>313</v>
      </c>
      <c r="D104" t="s">
        <v>350</v>
      </c>
      <c r="E104" s="15" t="s">
        <v>351</v>
      </c>
      <c r="F104" s="3" t="s">
        <v>7</v>
      </c>
      <c r="G104" t="s">
        <v>62</v>
      </c>
      <c r="H104" t="s">
        <v>351</v>
      </c>
    </row>
    <row r="105" spans="1:8" x14ac:dyDescent="0.3">
      <c r="A105" t="s">
        <v>242</v>
      </c>
      <c r="B105" s="3" t="s">
        <v>43</v>
      </c>
      <c r="C105" t="s">
        <v>313</v>
      </c>
      <c r="D105" t="s">
        <v>350</v>
      </c>
      <c r="E105" s="15" t="s">
        <v>351</v>
      </c>
      <c r="F105" s="3" t="s">
        <v>16</v>
      </c>
      <c r="G105" t="s">
        <v>62</v>
      </c>
      <c r="H105" t="s">
        <v>351</v>
      </c>
    </row>
    <row r="106" spans="1:8" x14ac:dyDescent="0.3">
      <c r="A106" t="s">
        <v>63</v>
      </c>
      <c r="B106" s="3">
        <v>200</v>
      </c>
      <c r="C106" t="s">
        <v>313</v>
      </c>
      <c r="D106" t="s">
        <v>350</v>
      </c>
      <c r="E106" s="15">
        <v>599.4</v>
      </c>
      <c r="F106" s="3">
        <v>190</v>
      </c>
      <c r="G106" t="s">
        <v>62</v>
      </c>
      <c r="H106" t="s">
        <v>351</v>
      </c>
    </row>
  </sheetData>
  <mergeCells count="23">
    <mergeCell ref="A95:H95"/>
    <mergeCell ref="A96:H96"/>
    <mergeCell ref="A97:H97"/>
    <mergeCell ref="A98:H98"/>
    <mergeCell ref="A100:H100"/>
    <mergeCell ref="A94:H94"/>
    <mergeCell ref="A40:H40"/>
    <mergeCell ref="A48:H48"/>
    <mergeCell ref="A61:G61"/>
    <mergeCell ref="A74:E74"/>
    <mergeCell ref="A80:E80"/>
    <mergeCell ref="A88:H88"/>
    <mergeCell ref="A89:H89"/>
    <mergeCell ref="A90:H90"/>
    <mergeCell ref="A91:H91"/>
    <mergeCell ref="A92:H92"/>
    <mergeCell ref="A93:H93"/>
    <mergeCell ref="A32:H32"/>
    <mergeCell ref="A1:J1"/>
    <mergeCell ref="A2:J2"/>
    <mergeCell ref="A4:D4"/>
    <mergeCell ref="A15:E1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 Growth Journey</vt:lpstr>
      <vt:lpstr>Channel Distribution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Singh Chauhan</dc:creator>
  <cp:lastModifiedBy>Amit Singh Chauhan</cp:lastModifiedBy>
  <dcterms:created xsi:type="dcterms:W3CDTF">2026-04-21T16:40:12Z</dcterms:created>
  <dcterms:modified xsi:type="dcterms:W3CDTF">2026-04-23T05:26:55Z</dcterms:modified>
</cp:coreProperties>
</file>